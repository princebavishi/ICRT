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&amp; Sector Summary" sheetId="1" state="visible" r:id="rId1"/>
    <sheet xmlns:r="http://schemas.openxmlformats.org/officeDocument/2006/relationships" name="Sector-Wise Master View" sheetId="2" state="visible" r:id="rId2"/>
    <sheet xmlns:r="http://schemas.openxmlformats.org/officeDocument/2006/relationships" name="Large Cap Companies" sheetId="3" state="visible" r:id="rId3"/>
    <sheet xmlns:r="http://schemas.openxmlformats.org/officeDocument/2006/relationships" name="Mid Cap Companies" sheetId="4" state="visible" r:id="rId4"/>
    <sheet xmlns:r="http://schemas.openxmlformats.org/officeDocument/2006/relationships" name="Small &amp; Micro Cap Companies" sheetId="5" state="visible" r:id="rId5"/>
    <sheet xmlns:r="http://schemas.openxmlformats.org/officeDocument/2006/relationships" name="Returns vs Renewables" sheetId="6" state="visible" r:id="rId6"/>
    <sheet xmlns:r="http://schemas.openxmlformats.org/officeDocument/2006/relationships" name="Industry Transition &amp; Mac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&quot;%&quot;"/>
    <numFmt numFmtId="166" formatCode="&quot;₹&quot;#,##0.0&quot; Cr&quot;"/>
    <numFmt numFmtId="167" formatCode="+0.0&quot;%&quot;;-0.0&quot;%&quot;;0.0&quot;%&quot;"/>
    <numFmt numFmtId="168" formatCode="&quot;₹&quot;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0E0"/>
      <sz val="10"/>
    </font>
    <font>
      <name val="Segoe UI"/>
      <b val="1"/>
      <sz val="9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sz val="9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0F4F8"/>
        <bgColor rgb="00F0F4F8"/>
      </patternFill>
    </fill>
    <fill>
      <patternFill patternType="solid">
        <fgColor rgb="00E8F5E9"/>
        <bgColor rgb="00E8F5E9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1B365D"/>
        <bgColor rgb="001B365D"/>
      </patternFill>
    </fill>
    <fill>
      <patternFill patternType="solid">
        <fgColor rgb="0016817A"/>
        <bgColor rgb="0016817A"/>
      </patternFill>
    </fill>
    <fill>
      <patternFill patternType="solid">
        <fgColor rgb="002D6A4F"/>
        <bgColor rgb="002D6A4F"/>
      </patternFill>
    </fill>
    <fill>
      <patternFill patternType="solid">
        <fgColor rgb="000E4D92"/>
        <bgColor rgb="000E4D92"/>
      </patternFill>
    </fill>
    <fill>
      <patternFill patternType="solid">
        <fgColor rgb="004A154B"/>
        <bgColor rgb="004A154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167" fontId="6" fillId="7" borderId="1" applyAlignment="1" pivotButton="0" quotePrefix="0" xfId="0">
      <alignment horizontal="right" vertical="center"/>
    </xf>
    <xf numFmtId="167" fontId="3" fillId="7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168" fontId="6" fillId="6" borderId="1" applyAlignment="1" pivotButton="0" quotePrefix="0" xfId="0">
      <alignment horizontal="right" vertical="center"/>
    </xf>
    <xf numFmtId="168" fontId="6" fillId="7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pivotButton="0" quotePrefix="0" xfId="0"/>
    <xf numFmtId="167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8" fontId="3" fillId="3" borderId="2" pivotButton="0" quotePrefix="0" xfId="0"/>
    <xf numFmtId="166" fontId="3" fillId="3" borderId="2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India Listed Companies: Sector-Wise &amp; Cap-Wise Renewables and 1-6 Year Returns Summary</t>
        </is>
      </c>
    </row>
    <row r="2" ht="20" customHeight="1">
      <c r="A2" s="2" t="inlineStr">
        <is>
          <t>Master Cross-Sectional Analysis of 60 Listed Entities | Market Returns, Green Capacity &amp; Shielded Costs</t>
        </is>
      </c>
    </row>
    <row r="4" ht="28" customHeight="1">
      <c r="A4" s="3" t="inlineStr">
        <is>
          <t>Total Companies
60 Listed Stocks
(Large, Mid &amp; Small Caps)</t>
        </is>
      </c>
      <c r="C4" s="3" t="inlineStr">
        <is>
          <t>Total Green Capacity
21,412 MW
(Solar, Wind, Hybrid &amp; WHRS)</t>
        </is>
      </c>
      <c r="E4" s="3" t="inlineStr">
        <is>
          <t>Annual Clean Power
33,484 Million kWh
(Displacing Grid Power)</t>
        </is>
      </c>
      <c r="G4" s="4" t="inlineStr">
        <is>
          <t>Total Cost Shielded
₹15,540 Cr / year
(Net Power Bill Savings)</t>
        </is>
      </c>
      <c r="I4" s="4" t="inlineStr">
        <is>
          <t>Avg. 5-Year Return
+184.2%
(Multi-Year Compounding)</t>
        </is>
      </c>
    </row>
    <row r="5" ht="28" customHeight="1"/>
    <row r="7">
      <c r="A7" s="5" t="inlineStr">
        <is>
          <t>1. SECTOR-WISE PERFORMANCE &amp; RENEWABLES SUMMARY</t>
        </is>
      </c>
    </row>
    <row r="8" ht="26" customHeight="1">
      <c r="A8" s="6" t="inlineStr">
        <is>
          <t>Industry Sector</t>
        </is>
      </c>
      <c r="B8" s="6" t="inlineStr">
        <is>
          <t>Cos</t>
        </is>
      </c>
      <c r="C8" s="6" t="inlineStr">
        <is>
          <t>Green MW</t>
        </is>
      </c>
      <c r="D8" s="6" t="inlineStr">
        <is>
          <t>Avg RE %</t>
        </is>
      </c>
      <c r="E8" s="6" t="inlineStr">
        <is>
          <t>Total Shield (₹ Cr)</t>
        </is>
      </c>
      <c r="F8" s="6" t="inlineStr">
        <is>
          <t>Avg 1Y Ret</t>
        </is>
      </c>
      <c r="G8" s="6" t="inlineStr">
        <is>
          <t>Avg 2Y Ret</t>
        </is>
      </c>
      <c r="H8" s="6" t="inlineStr">
        <is>
          <t>Avg 3Y Ret</t>
        </is>
      </c>
      <c r="I8" s="6" t="inlineStr">
        <is>
          <t>Avg 4Y Ret</t>
        </is>
      </c>
      <c r="J8" s="6" t="inlineStr">
        <is>
          <t>Avg 5Y Ret</t>
        </is>
      </c>
      <c r="K8" s="6" t="inlineStr">
        <is>
          <t>Avg 6Y Ret</t>
        </is>
      </c>
    </row>
    <row r="9" ht="20" customHeight="1">
      <c r="A9" s="7" t="inlineStr">
        <is>
          <t>Automotive &amp; Ancillary</t>
        </is>
      </c>
      <c r="B9" s="8" t="n">
        <v>11</v>
      </c>
      <c r="C9" s="9" t="n">
        <v>482.5</v>
      </c>
      <c r="D9" s="10" t="n">
        <v>34.90909090909091</v>
      </c>
      <c r="E9" s="11" t="n">
        <v>488.7</v>
      </c>
      <c r="F9" s="12" t="n">
        <v>9.454545454545455</v>
      </c>
      <c r="G9" s="12" t="n">
        <v>37.47272727272727</v>
      </c>
      <c r="H9" s="13" t="n">
        <v>116.2818181818182</v>
      </c>
      <c r="I9" s="13" t="n">
        <v>212.4181818181818</v>
      </c>
      <c r="J9" s="13" t="n">
        <v>302.5</v>
      </c>
      <c r="K9" s="13" t="n">
        <v>503.7545454545455</v>
      </c>
    </row>
    <row r="10" ht="20" customHeight="1">
      <c r="A10" s="14" t="inlineStr">
        <is>
          <t>Capital Goods &amp; Engineering</t>
        </is>
      </c>
      <c r="B10" s="15" t="n">
        <v>3</v>
      </c>
      <c r="C10" s="16" t="n">
        <v>111</v>
      </c>
      <c r="D10" s="17" t="n">
        <v>37</v>
      </c>
      <c r="E10" s="18" t="n">
        <v>115.2</v>
      </c>
      <c r="F10" s="19" t="n">
        <v>6.3</v>
      </c>
      <c r="G10" s="19" t="n">
        <v>1.833333333333331</v>
      </c>
      <c r="H10" s="19" t="n">
        <v>70.73333333333333</v>
      </c>
      <c r="I10" s="20" t="n">
        <v>166.1333333333333</v>
      </c>
      <c r="J10" s="20" t="n">
        <v>196.4333333333334</v>
      </c>
      <c r="K10" s="20" t="n">
        <v>506.2666666666667</v>
      </c>
    </row>
    <row r="11" ht="20" customHeight="1">
      <c r="A11" s="7" t="inlineStr">
        <is>
          <t>Cement &amp; Building Materials</t>
        </is>
      </c>
      <c r="B11" s="8" t="n">
        <v>9</v>
      </c>
      <c r="C11" s="9" t="n">
        <v>2806</v>
      </c>
      <c r="D11" s="10" t="n">
        <v>36.33333333333334</v>
      </c>
      <c r="E11" s="11" t="n">
        <v>3207.3</v>
      </c>
      <c r="F11" s="12" t="n">
        <v>-14.72222222222222</v>
      </c>
      <c r="G11" s="12" t="n">
        <v>-19.83333333333333</v>
      </c>
      <c r="H11" s="12" t="n">
        <v>-12.63333333333333</v>
      </c>
      <c r="I11" s="12" t="n">
        <v>10.8</v>
      </c>
      <c r="J11" s="12" t="n">
        <v>-13.12222222222222</v>
      </c>
      <c r="K11" s="12" t="n">
        <v>93.6888888888889</v>
      </c>
    </row>
    <row r="12" ht="20" customHeight="1">
      <c r="A12" s="14" t="inlineStr">
        <is>
          <t>Chemicals &amp; Petrochemicals</t>
        </is>
      </c>
      <c r="B12" s="15" t="n">
        <v>4</v>
      </c>
      <c r="C12" s="16" t="n">
        <v>320</v>
      </c>
      <c r="D12" s="17" t="n">
        <v>34.5</v>
      </c>
      <c r="E12" s="18" t="n">
        <v>322.9</v>
      </c>
      <c r="F12" s="19" t="n">
        <v>-2.9</v>
      </c>
      <c r="G12" s="19" t="n">
        <v>-12.6</v>
      </c>
      <c r="H12" s="19" t="n">
        <v>9.074999999999999</v>
      </c>
      <c r="I12" s="19" t="n">
        <v>14.65</v>
      </c>
      <c r="J12" s="19" t="n">
        <v>17.05</v>
      </c>
      <c r="K12" s="20" t="n">
        <v>152.175</v>
      </c>
    </row>
    <row r="13" ht="20" customHeight="1">
      <c r="A13" s="7" t="inlineStr">
        <is>
          <t>Conglomerates &amp; Diversified</t>
        </is>
      </c>
      <c r="B13" s="8" t="n">
        <v>2</v>
      </c>
      <c r="C13" s="9" t="n">
        <v>312</v>
      </c>
      <c r="D13" s="10" t="n">
        <v>24.5</v>
      </c>
      <c r="E13" s="11" t="n">
        <v>583.9</v>
      </c>
      <c r="F13" s="12" t="n">
        <v>9.25</v>
      </c>
      <c r="G13" s="12" t="n">
        <v>3.699999999999999</v>
      </c>
      <c r="H13" s="12" t="n">
        <v>59.85</v>
      </c>
      <c r="I13" s="12" t="n">
        <v>64.25</v>
      </c>
      <c r="J13" s="12" t="n">
        <v>72.55</v>
      </c>
      <c r="K13" s="13" t="n">
        <v>213.9</v>
      </c>
    </row>
    <row r="14" ht="20" customHeight="1">
      <c r="A14" s="14" t="inlineStr">
        <is>
          <t>FMCG &amp; Consumer Goods</t>
        </is>
      </c>
      <c r="B14" s="15" t="n">
        <v>6</v>
      </c>
      <c r="C14" s="16" t="n">
        <v>267.5</v>
      </c>
      <c r="D14" s="17" t="n">
        <v>51</v>
      </c>
      <c r="E14" s="18" t="n">
        <v>274.9</v>
      </c>
      <c r="F14" s="19" t="n">
        <v>-4.733333333333334</v>
      </c>
      <c r="G14" s="19" t="n">
        <v>-16.9</v>
      </c>
      <c r="H14" s="19" t="n">
        <v>13.45</v>
      </c>
      <c r="I14" s="19" t="n">
        <v>21.63333333333334</v>
      </c>
      <c r="J14" s="19" t="n">
        <v>23.05</v>
      </c>
      <c r="K14" s="19" t="n">
        <v>99.69999999999999</v>
      </c>
    </row>
    <row r="15" ht="20" customHeight="1">
      <c r="A15" s="7" t="inlineStr">
        <is>
          <t>IT &amp; Software Services</t>
        </is>
      </c>
      <c r="B15" s="8" t="n">
        <v>4</v>
      </c>
      <c r="C15" s="9" t="n">
        <v>162</v>
      </c>
      <c r="D15" s="10" t="n">
        <v>66.425</v>
      </c>
      <c r="E15" s="11" t="n">
        <v>369.1</v>
      </c>
      <c r="F15" s="12" t="n">
        <v>-10.125</v>
      </c>
      <c r="G15" s="12" t="n">
        <v>-25.35</v>
      </c>
      <c r="H15" s="12" t="n">
        <v>0.2250000000000003</v>
      </c>
      <c r="I15" s="12" t="n">
        <v>16.6</v>
      </c>
      <c r="J15" s="12" t="n">
        <v>-15.025</v>
      </c>
      <c r="K15" s="12" t="n">
        <v>46.425</v>
      </c>
    </row>
    <row r="16" ht="20" customHeight="1">
      <c r="A16" s="14" t="inlineStr">
        <is>
          <t>Metals &amp; Mining</t>
        </is>
      </c>
      <c r="B16" s="15" t="n">
        <v>4</v>
      </c>
      <c r="C16" s="16" t="n">
        <v>2308</v>
      </c>
      <c r="D16" s="17" t="n">
        <v>14</v>
      </c>
      <c r="E16" s="18" t="n">
        <v>2070.3</v>
      </c>
      <c r="F16" s="19" t="n">
        <v>17.525</v>
      </c>
      <c r="G16" s="19" t="n">
        <v>21.6</v>
      </c>
      <c r="H16" s="19" t="n">
        <v>71.95</v>
      </c>
      <c r="I16" s="20" t="n">
        <v>132.65</v>
      </c>
      <c r="J16" s="20" t="n">
        <v>112.825</v>
      </c>
      <c r="K16" s="20" t="n">
        <v>450.55</v>
      </c>
    </row>
    <row r="17" ht="20" customHeight="1">
      <c r="A17" s="7" t="inlineStr">
        <is>
          <t>Pharmaceuticals &amp; Healthcare</t>
        </is>
      </c>
      <c r="B17" s="8" t="n">
        <v>2</v>
      </c>
      <c r="C17" s="9" t="n">
        <v>60</v>
      </c>
      <c r="D17" s="10" t="n">
        <v>41.5</v>
      </c>
      <c r="E17" s="11" t="n">
        <v>73.2</v>
      </c>
      <c r="F17" s="12" t="n">
        <v>17.8</v>
      </c>
      <c r="G17" s="12" t="n">
        <v>4</v>
      </c>
      <c r="H17" s="12" t="n">
        <v>54.95</v>
      </c>
      <c r="I17" s="12" t="n">
        <v>68.40000000000001</v>
      </c>
      <c r="J17" s="12" t="n">
        <v>70.84999999999999</v>
      </c>
      <c r="K17" s="13" t="n">
        <v>134.15</v>
      </c>
    </row>
    <row r="18" ht="20" customHeight="1">
      <c r="A18" s="14" t="inlineStr">
        <is>
          <t>Power Utilities &amp; Cleantech</t>
        </is>
      </c>
      <c r="B18" s="15" t="n">
        <v>11</v>
      </c>
      <c r="C18" s="16" t="n">
        <v>13142</v>
      </c>
      <c r="D18" s="17" t="n">
        <v>62</v>
      </c>
      <c r="E18" s="18" t="n">
        <v>7621.9</v>
      </c>
      <c r="F18" s="19" t="n">
        <v>-19.06363636363636</v>
      </c>
      <c r="G18" s="19" t="n">
        <v>-38.78181818181818</v>
      </c>
      <c r="H18" s="19" t="n">
        <v>16.78181818181818</v>
      </c>
      <c r="I18" s="19" t="n">
        <v>89.30909090909091</v>
      </c>
      <c r="J18" s="20" t="n">
        <v>316.0454545454546</v>
      </c>
      <c r="K18" s="20" t="n">
        <v>634.6545454545454</v>
      </c>
    </row>
    <row r="19" ht="20" customHeight="1">
      <c r="A19" s="7" t="inlineStr">
        <is>
          <t>Telecom &amp; Data Centers</t>
        </is>
      </c>
      <c r="B19" s="8" t="n">
        <v>1</v>
      </c>
      <c r="C19" s="9" t="n">
        <v>120</v>
      </c>
      <c r="D19" s="10" t="n">
        <v>49</v>
      </c>
      <c r="E19" s="11" t="n">
        <v>256</v>
      </c>
      <c r="F19" s="12" t="n">
        <v>-2</v>
      </c>
      <c r="G19" s="12" t="n">
        <v>7.6</v>
      </c>
      <c r="H19" s="12" t="n">
        <v>98.59999999999999</v>
      </c>
      <c r="I19" s="13" t="n">
        <v>130</v>
      </c>
      <c r="J19" s="13" t="n">
        <v>167.3</v>
      </c>
      <c r="K19" s="13" t="n">
        <v>345.3</v>
      </c>
    </row>
    <row r="20" ht="20" customHeight="1">
      <c r="A20" s="14" t="inlineStr">
        <is>
          <t>Textiles &amp; Apparel</t>
        </is>
      </c>
      <c r="B20" s="15" t="n">
        <v>3</v>
      </c>
      <c r="C20" s="16" t="n">
        <v>254.9</v>
      </c>
      <c r="D20" s="17" t="n">
        <v>62</v>
      </c>
      <c r="E20" s="18" t="n">
        <v>282.5</v>
      </c>
      <c r="F20" s="19" t="n">
        <v>58.46666666666667</v>
      </c>
      <c r="G20" s="19" t="n">
        <v>33.63333333333333</v>
      </c>
      <c r="H20" s="20" t="n">
        <v>115.9666666666667</v>
      </c>
      <c r="I20" s="20" t="n">
        <v>261.6666666666667</v>
      </c>
      <c r="J20" s="20" t="n">
        <v>229.1</v>
      </c>
      <c r="K20" s="20" t="n">
        <v>851.2666666666668</v>
      </c>
    </row>
    <row r="22">
      <c r="A22" s="5" t="inlineStr">
        <is>
          <t>2. MARKET-CAP TIER SUMMARY (LARGE CAP, MID CAP &amp; SMALL CAP)</t>
        </is>
      </c>
    </row>
    <row r="23" ht="26" customHeight="1">
      <c r="A23" s="21" t="inlineStr">
        <is>
          <t>Market Cap Tier</t>
        </is>
      </c>
      <c r="B23" s="21" t="inlineStr">
        <is>
          <t>Cos</t>
        </is>
      </c>
      <c r="C23" s="21" t="inlineStr">
        <is>
          <t>Green MW</t>
        </is>
      </c>
      <c r="D23" s="21" t="inlineStr">
        <is>
          <t>Avg RE %</t>
        </is>
      </c>
      <c r="E23" s="21" t="inlineStr">
        <is>
          <t>Total Shield (₹ Cr)</t>
        </is>
      </c>
      <c r="F23" s="21" t="inlineStr">
        <is>
          <t>Avg 1Y Ret</t>
        </is>
      </c>
      <c r="G23" s="21" t="inlineStr">
        <is>
          <t>Avg 2Y Ret</t>
        </is>
      </c>
      <c r="H23" s="21" t="inlineStr">
        <is>
          <t>Avg 3Y Ret</t>
        </is>
      </c>
      <c r="I23" s="21" t="inlineStr">
        <is>
          <t>Avg 4Y Ret</t>
        </is>
      </c>
      <c r="J23" s="21" t="inlineStr">
        <is>
          <t>Avg 5Y Ret</t>
        </is>
      </c>
      <c r="K23" s="21" t="inlineStr">
        <is>
          <t>Avg 6Y Ret</t>
        </is>
      </c>
    </row>
    <row r="24" ht="20" customHeight="1">
      <c r="A24" s="14" t="inlineStr">
        <is>
          <t>Large Cap</t>
        </is>
      </c>
      <c r="B24" s="15" t="n">
        <v>20</v>
      </c>
      <c r="C24" s="16" t="n">
        <v>8238</v>
      </c>
      <c r="D24" s="17" t="n">
        <v>41.185</v>
      </c>
      <c r="E24" s="18" t="n">
        <v>6882.1</v>
      </c>
      <c r="F24" s="19" t="n">
        <v>5.145</v>
      </c>
      <c r="G24" s="19" t="n">
        <v>-1.23</v>
      </c>
      <c r="H24" s="19" t="n">
        <v>41.565</v>
      </c>
      <c r="I24" s="19" t="n">
        <v>72.7</v>
      </c>
      <c r="J24" s="19" t="n">
        <v>78.675</v>
      </c>
      <c r="K24" s="20" t="n">
        <v>231.68</v>
      </c>
    </row>
    <row r="25" ht="20" customHeight="1">
      <c r="A25" s="7" t="inlineStr">
        <is>
          <t>Mid Cap</t>
        </is>
      </c>
      <c r="B25" s="8" t="n">
        <v>20</v>
      </c>
      <c r="C25" s="9" t="n">
        <v>10735</v>
      </c>
      <c r="D25" s="10" t="n">
        <v>39.7</v>
      </c>
      <c r="E25" s="11" t="n">
        <v>7596.5</v>
      </c>
      <c r="F25" s="12" t="n">
        <v>-1.110000000000001</v>
      </c>
      <c r="G25" s="12" t="n">
        <v>-6.875</v>
      </c>
      <c r="H25" s="12" t="n">
        <v>33.58</v>
      </c>
      <c r="I25" s="12" t="n">
        <v>72.985</v>
      </c>
      <c r="J25" s="12" t="n">
        <v>73.52000000000001</v>
      </c>
      <c r="K25" s="13" t="n">
        <v>253.17</v>
      </c>
    </row>
    <row r="26" ht="20" customHeight="1">
      <c r="A26" s="14" t="inlineStr">
        <is>
          <t>Small Cap</t>
        </is>
      </c>
      <c r="B26" s="15" t="n">
        <v>20</v>
      </c>
      <c r="C26" s="16" t="n">
        <v>1372.9</v>
      </c>
      <c r="D26" s="17" t="n">
        <v>50.95</v>
      </c>
      <c r="E26" s="18" t="n">
        <v>1187.3</v>
      </c>
      <c r="F26" s="19" t="n">
        <v>-4.145</v>
      </c>
      <c r="G26" s="19" t="n">
        <v>-3.41</v>
      </c>
      <c r="H26" s="19" t="n">
        <v>57.05499999999999</v>
      </c>
      <c r="I26" s="20" t="n">
        <v>148.33</v>
      </c>
      <c r="J26" s="20" t="n">
        <v>298.52</v>
      </c>
      <c r="K26" s="20" t="n">
        <v>598.875</v>
      </c>
    </row>
  </sheetData>
  <mergeCells count="9">
    <mergeCell ref="C4:D5"/>
    <mergeCell ref="A4:B5"/>
    <mergeCell ref="G4:H5"/>
    <mergeCell ref="E4:F5"/>
    <mergeCell ref="A22:K22"/>
    <mergeCell ref="A7:K7"/>
    <mergeCell ref="A2:K2"/>
    <mergeCell ref="I4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22" t="inlineStr">
        <is>
          <t>India Listed Companies: Sector-Wise Renewables Adoption &amp; 1-6 Year Returns</t>
        </is>
      </c>
    </row>
    <row r="2" ht="20" customHeight="1">
      <c r="A2" s="23" t="inlineStr">
        <is>
          <t>All 60 Entities Grouped by Industry Sector | Audited BRSR Disclosures &amp; Multi-Year Stock Performance</t>
        </is>
      </c>
    </row>
    <row r="3" ht="8" customHeight="1"/>
    <row r="4" ht="28" customHeight="1">
      <c r="A4" s="6" t="inlineStr">
        <is>
          <t>Company Name</t>
        </is>
      </c>
      <c r="B4" s="6" t="inlineStr">
        <is>
          <t>Ticker</t>
        </is>
      </c>
      <c r="C4" s="6" t="inlineStr">
        <is>
          <t>Cap Tier</t>
        </is>
      </c>
      <c r="D4" s="6" t="inlineStr">
        <is>
          <t>Sector</t>
        </is>
      </c>
      <c r="E4" s="6" t="inlineStr">
        <is>
          <t>1Y Ret (%)</t>
        </is>
      </c>
      <c r="F4" s="6" t="inlineStr">
        <is>
          <t>2Y Ret (%)</t>
        </is>
      </c>
      <c r="G4" s="6" t="inlineStr">
        <is>
          <t>3Y Ret (%)</t>
        </is>
      </c>
      <c r="H4" s="6" t="inlineStr">
        <is>
          <t>4Y Ret (%)</t>
        </is>
      </c>
      <c r="I4" s="6" t="inlineStr">
        <is>
          <t>5Y Ret (%)</t>
        </is>
      </c>
      <c r="J4" s="6" t="inlineStr">
        <is>
          <t>6Y Ret (%)</t>
        </is>
      </c>
      <c r="K4" s="6" t="inlineStr">
        <is>
          <t>RE Installed (MW)</t>
        </is>
      </c>
      <c r="L4" s="6" t="inlineStr">
        <is>
          <t>RE Power Share (%)</t>
        </is>
      </c>
      <c r="M4" s="6" t="inlineStr">
        <is>
          <t>Annual Green Units (MU)</t>
        </is>
      </c>
      <c r="N4" s="6" t="inlineStr">
        <is>
          <t>Grid Tariff (₹/kWh)</t>
        </is>
      </c>
      <c r="O4" s="6" t="inlineStr">
        <is>
          <t>Solar Cost (₹/kWh)</t>
        </is>
      </c>
      <c r="P4" s="6" t="inlineStr">
        <is>
          <t>Unit Shield (₹/kWh)</t>
        </is>
      </c>
      <c r="Q4" s="6" t="inlineStr">
        <is>
          <t>Annual Cost Shielded (₹ Cr)</t>
        </is>
      </c>
      <c r="R4" s="6" t="inlineStr">
        <is>
          <t>Primary RE Model</t>
        </is>
      </c>
      <c r="S4" s="6" t="inlineStr">
        <is>
          <t>Targets &amp; Commitments</t>
        </is>
      </c>
    </row>
    <row r="5" ht="20" customHeight="1">
      <c r="A5" s="7" t="inlineStr">
        <is>
          <t>Tata Motors Ltd</t>
        </is>
      </c>
      <c r="B5" s="8" t="inlineStr">
        <is>
          <t>TATAMOTORS</t>
        </is>
      </c>
      <c r="C5" s="8" t="inlineStr">
        <is>
          <t>Large Cap</t>
        </is>
      </c>
      <c r="D5" s="8" t="inlineStr">
        <is>
          <t>Automotive &amp; Ancillary</t>
        </is>
      </c>
      <c r="E5" s="12" t="n">
        <v>12.5</v>
      </c>
      <c r="F5" s="12" t="n">
        <v>28</v>
      </c>
      <c r="G5" s="12" t="n">
        <v>45</v>
      </c>
      <c r="H5" s="12" t="n">
        <v>65</v>
      </c>
      <c r="I5" s="12" t="n">
        <v>95</v>
      </c>
      <c r="J5" s="13" t="n">
        <v>130</v>
      </c>
      <c r="K5" s="9" t="n">
        <v>152</v>
      </c>
      <c r="L5" s="10" t="n">
        <v>51</v>
      </c>
      <c r="M5" s="9" t="n">
        <v>220</v>
      </c>
      <c r="N5" s="24" t="n">
        <v>8.800000000000001</v>
      </c>
      <c r="O5" s="24" t="n">
        <v>3.8</v>
      </c>
      <c r="P5" s="24" t="n">
        <v>5</v>
      </c>
      <c r="Q5" s="11" t="n">
        <v>110</v>
      </c>
      <c r="R5" s="7" t="inlineStr">
        <is>
          <t>Rooftop Solar on Pune/Sanand + TPREL Hybrid</t>
        </is>
      </c>
      <c r="S5" s="7" t="inlineStr">
        <is>
          <t>100% RE in manufacturing by 2030</t>
        </is>
      </c>
    </row>
    <row r="6" ht="20" customHeight="1">
      <c r="A6" s="14" t="inlineStr">
        <is>
          <t>Mahindra &amp; Mahindra Ltd</t>
        </is>
      </c>
      <c r="B6" s="15" t="inlineStr">
        <is>
          <t>M&amp;M</t>
        </is>
      </c>
      <c r="C6" s="15" t="inlineStr">
        <is>
          <t>Large Cap</t>
        </is>
      </c>
      <c r="D6" s="15" t="inlineStr">
        <is>
          <t>Automotive &amp; Ancillary</t>
        </is>
      </c>
      <c r="E6" s="19" t="n">
        <v>-7.5</v>
      </c>
      <c r="F6" s="19" t="n">
        <v>2.4</v>
      </c>
      <c r="G6" s="20" t="n">
        <v>104</v>
      </c>
      <c r="H6" s="20" t="n">
        <v>150</v>
      </c>
      <c r="I6" s="20" t="n">
        <v>294.7</v>
      </c>
      <c r="J6" s="20" t="n">
        <v>421.5</v>
      </c>
      <c r="K6" s="16" t="n">
        <v>78</v>
      </c>
      <c r="L6" s="17" t="n">
        <v>45</v>
      </c>
      <c r="M6" s="16" t="n">
        <v>160</v>
      </c>
      <c r="N6" s="25" t="n">
        <v>8.9</v>
      </c>
      <c r="O6" s="25" t="n">
        <v>3.8</v>
      </c>
      <c r="P6" s="25" t="n">
        <v>5.1</v>
      </c>
      <c r="Q6" s="18" t="n">
        <v>81.59999999999999</v>
      </c>
      <c r="R6" s="14" t="inlineStr">
        <is>
          <t>Group Captive Solar with Mahindra Susten</t>
        </is>
      </c>
      <c r="S6" s="14" t="inlineStr">
        <is>
          <t>100% RE by 2030 (EP100 &amp; RE100)</t>
        </is>
      </c>
    </row>
    <row r="7" ht="20" customHeight="1">
      <c r="A7" s="7" t="inlineStr">
        <is>
          <t>Bharat Forge Ltd</t>
        </is>
      </c>
      <c r="B7" s="8" t="inlineStr">
        <is>
          <t>BHARATFORG</t>
        </is>
      </c>
      <c r="C7" s="8" t="inlineStr">
        <is>
          <t>Mid Cap</t>
        </is>
      </c>
      <c r="D7" s="8" t="inlineStr">
        <is>
          <t>Automotive &amp; Ancillary</t>
        </is>
      </c>
      <c r="E7" s="12" t="n">
        <v>61.3</v>
      </c>
      <c r="F7" s="12" t="n">
        <v>29</v>
      </c>
      <c r="G7" s="12" t="n">
        <v>79.2</v>
      </c>
      <c r="H7" s="13" t="n">
        <v>181.2</v>
      </c>
      <c r="I7" s="13" t="n">
        <v>165.2</v>
      </c>
      <c r="J7" s="13" t="n">
        <v>337</v>
      </c>
      <c r="K7" s="9" t="n">
        <v>52</v>
      </c>
      <c r="L7" s="10" t="n">
        <v>36</v>
      </c>
      <c r="M7" s="9" t="n">
        <v>135</v>
      </c>
      <c r="N7" s="24" t="n">
        <v>8.9</v>
      </c>
      <c r="O7" s="24" t="n">
        <v>3.8</v>
      </c>
      <c r="P7" s="24" t="n">
        <v>5.1</v>
      </c>
      <c r="Q7" s="11" t="n">
        <v>68.90000000000001</v>
      </c>
      <c r="R7" s="7" t="inlineStr">
        <is>
          <t>Group Captive Solar in Maharashtra</t>
        </is>
      </c>
      <c r="S7" s="7" t="inlineStr">
        <is>
          <t>Carbon Neutral by 2040</t>
        </is>
      </c>
    </row>
    <row r="8" ht="20" customHeight="1">
      <c r="A8" s="14" t="inlineStr">
        <is>
          <t>Ashok Leyland Ltd</t>
        </is>
      </c>
      <c r="B8" s="15" t="inlineStr">
        <is>
          <t>ASHOKLEY</t>
        </is>
      </c>
      <c r="C8" s="15" t="inlineStr">
        <is>
          <t>Mid Cap</t>
        </is>
      </c>
      <c r="D8" s="15" t="inlineStr">
        <is>
          <t>Automotive &amp; Ancillary</t>
        </is>
      </c>
      <c r="E8" s="19" t="n">
        <v>18.5</v>
      </c>
      <c r="F8" s="19" t="n">
        <v>43.6</v>
      </c>
      <c r="G8" s="19" t="n">
        <v>91</v>
      </c>
      <c r="H8" s="20" t="n">
        <v>121.4</v>
      </c>
      <c r="I8" s="20" t="n">
        <v>152.6</v>
      </c>
      <c r="J8" s="20" t="n">
        <v>354.3</v>
      </c>
      <c r="K8" s="16" t="n">
        <v>55</v>
      </c>
      <c r="L8" s="17" t="n">
        <v>60</v>
      </c>
      <c r="M8" s="16" t="n">
        <v>115</v>
      </c>
      <c r="N8" s="25" t="n">
        <v>8.800000000000001</v>
      </c>
      <c r="O8" s="25" t="n">
        <v>3.7</v>
      </c>
      <c r="P8" s="25" t="n">
        <v>5.1</v>
      </c>
      <c r="Q8" s="18" t="n">
        <v>58.7</v>
      </c>
      <c r="R8" s="14" t="inlineStr">
        <is>
          <t>Rooftop Solar &amp; Wind PPA in Tamil Nadu</t>
        </is>
      </c>
      <c r="S8" s="14" t="inlineStr">
        <is>
          <t>100% RE across manufacturing by 2030</t>
        </is>
      </c>
    </row>
    <row r="9" ht="20" customHeight="1">
      <c r="A9" s="7" t="inlineStr">
        <is>
          <t>Apollo Tyres Ltd</t>
        </is>
      </c>
      <c r="B9" s="8" t="inlineStr">
        <is>
          <t>APOLLOTYRE</t>
        </is>
      </c>
      <c r="C9" s="8" t="inlineStr">
        <is>
          <t>Mid Cap</t>
        </is>
      </c>
      <c r="D9" s="8" t="inlineStr">
        <is>
          <t>Automotive &amp; Ancillary</t>
        </is>
      </c>
      <c r="E9" s="12" t="n">
        <v>-8.9</v>
      </c>
      <c r="F9" s="12" t="n">
        <v>-21.4</v>
      </c>
      <c r="G9" s="12" t="n">
        <v>16.9</v>
      </c>
      <c r="H9" s="12" t="n">
        <v>54.6</v>
      </c>
      <c r="I9" s="12" t="n">
        <v>90.90000000000001</v>
      </c>
      <c r="J9" s="13" t="n">
        <v>229.3</v>
      </c>
      <c r="K9" s="9" t="n">
        <v>48</v>
      </c>
      <c r="L9" s="10" t="n">
        <v>32</v>
      </c>
      <c r="M9" s="9" t="n">
        <v>120</v>
      </c>
      <c r="N9" s="24" t="n">
        <v>8.6</v>
      </c>
      <c r="O9" s="24" t="n">
        <v>3.75</v>
      </c>
      <c r="P9" s="24" t="n">
        <v>4.85</v>
      </c>
      <c r="Q9" s="11" t="n">
        <v>58.2</v>
      </c>
      <c r="R9" s="7" t="inlineStr">
        <is>
          <t>Open Access Solar in AP &amp; Gujarat</t>
        </is>
      </c>
      <c r="S9" s="7" t="inlineStr">
        <is>
          <t>25% Carbon Intensity cut by 2026</t>
        </is>
      </c>
    </row>
    <row r="10" ht="20" customHeight="1">
      <c r="A10" s="14" t="inlineStr">
        <is>
          <t>CEAT Ltd</t>
        </is>
      </c>
      <c r="B10" s="15" t="inlineStr">
        <is>
          <t>CEATLTD</t>
        </is>
      </c>
      <c r="C10" s="15" t="inlineStr">
        <is>
          <t>Mid Cap</t>
        </is>
      </c>
      <c r="D10" s="15" t="inlineStr">
        <is>
          <t>Automotive &amp; Ancillary</t>
        </is>
      </c>
      <c r="E10" s="19" t="n">
        <v>-1.5</v>
      </c>
      <c r="F10" s="19" t="n">
        <v>5.6</v>
      </c>
      <c r="G10" s="19" t="n">
        <v>57.1</v>
      </c>
      <c r="H10" s="20" t="n">
        <v>111.8</v>
      </c>
      <c r="I10" s="20" t="n">
        <v>152.2</v>
      </c>
      <c r="J10" s="20" t="n">
        <v>233.6</v>
      </c>
      <c r="K10" s="16" t="n">
        <v>38</v>
      </c>
      <c r="L10" s="17" t="n">
        <v>34</v>
      </c>
      <c r="M10" s="16" t="n">
        <v>95</v>
      </c>
      <c r="N10" s="25" t="n">
        <v>8.699999999999999</v>
      </c>
      <c r="O10" s="25" t="n">
        <v>3.8</v>
      </c>
      <c r="P10" s="25" t="n">
        <v>4.9</v>
      </c>
      <c r="Q10" s="18" t="n">
        <v>46.6</v>
      </c>
      <c r="R10" s="14" t="inlineStr">
        <is>
          <t>Rooftop Solar + Captive Solar PPA</t>
        </is>
      </c>
      <c r="S10" s="14" t="inlineStr">
        <is>
          <t>50% RE by 2030</t>
        </is>
      </c>
    </row>
    <row r="11" ht="20" customHeight="1">
      <c r="A11" s="7" t="inlineStr">
        <is>
          <t>Exide Industries Ltd</t>
        </is>
      </c>
      <c r="B11" s="8" t="inlineStr">
        <is>
          <t>EXIDEIND</t>
        </is>
      </c>
      <c r="C11" s="8" t="inlineStr">
        <is>
          <t>Mid Cap</t>
        </is>
      </c>
      <c r="D11" s="8" t="inlineStr">
        <is>
          <t>Automotive &amp; Ancillary</t>
        </is>
      </c>
      <c r="E11" s="12" t="n">
        <v>8.6</v>
      </c>
      <c r="F11" s="12" t="n">
        <v>-15.6</v>
      </c>
      <c r="G11" s="12" t="n">
        <v>62.8</v>
      </c>
      <c r="H11" s="13" t="n">
        <v>170.3</v>
      </c>
      <c r="I11" s="13" t="n">
        <v>138</v>
      </c>
      <c r="J11" s="13" t="n">
        <v>157.2</v>
      </c>
      <c r="K11" s="9" t="n">
        <v>35</v>
      </c>
      <c r="L11" s="10" t="n">
        <v>26</v>
      </c>
      <c r="M11" s="9" t="n">
        <v>82</v>
      </c>
      <c r="N11" s="24" t="n">
        <v>8.4</v>
      </c>
      <c r="O11" s="24" t="n">
        <v>3.8</v>
      </c>
      <c r="P11" s="24" t="n">
        <v>4.6</v>
      </c>
      <c r="Q11" s="11" t="n">
        <v>37.7</v>
      </c>
      <c r="R11" s="7" t="inlineStr">
        <is>
          <t>Rooftop Solar + Haldia captive park</t>
        </is>
      </c>
      <c r="S11" s="7" t="inlineStr">
        <is>
          <t>50% RE by 2030</t>
        </is>
      </c>
    </row>
    <row r="12" ht="20" customHeight="1">
      <c r="A12" s="14" t="inlineStr">
        <is>
          <t>Lumax Auto Tech Ltd</t>
        </is>
      </c>
      <c r="B12" s="15" t="inlineStr">
        <is>
          <t>LUMAXTECH</t>
        </is>
      </c>
      <c r="C12" s="15" t="inlineStr">
        <is>
          <t>Small Cap</t>
        </is>
      </c>
      <c r="D12" s="15" t="inlineStr">
        <is>
          <t>Automotive &amp; Ancillary</t>
        </is>
      </c>
      <c r="E12" s="19" t="n">
        <v>56.4</v>
      </c>
      <c r="F12" s="20" t="n">
        <v>247.6</v>
      </c>
      <c r="G12" s="20" t="n">
        <v>440</v>
      </c>
      <c r="H12" s="20" t="n">
        <v>596.9</v>
      </c>
      <c r="I12" s="20" t="n">
        <v>1295.7</v>
      </c>
      <c r="J12" s="20" t="n">
        <v>1894.6</v>
      </c>
      <c r="K12" s="16" t="n">
        <v>8</v>
      </c>
      <c r="L12" s="17" t="n">
        <v>26</v>
      </c>
      <c r="M12" s="16" t="n">
        <v>18</v>
      </c>
      <c r="N12" s="25" t="n">
        <v>8.800000000000001</v>
      </c>
      <c r="O12" s="25" t="n">
        <v>3.8</v>
      </c>
      <c r="P12" s="25" t="n">
        <v>5</v>
      </c>
      <c r="Q12" s="18" t="n">
        <v>9</v>
      </c>
      <c r="R12" s="14" t="inlineStr">
        <is>
          <t>Rooftop Solar installations</t>
        </is>
      </c>
      <c r="S12" s="14" t="inlineStr">
        <is>
          <t>40% RE by 2030</t>
        </is>
      </c>
    </row>
    <row r="13" ht="20" customHeight="1">
      <c r="A13" s="7" t="inlineStr">
        <is>
          <t>Gabriel India Ltd</t>
        </is>
      </c>
      <c r="B13" s="8" t="inlineStr">
        <is>
          <t>GABRIEL</t>
        </is>
      </c>
      <c r="C13" s="8" t="inlineStr">
        <is>
          <t>Small Cap</t>
        </is>
      </c>
      <c r="D13" s="8" t="inlineStr">
        <is>
          <t>Automotive &amp; Ancillary</t>
        </is>
      </c>
      <c r="E13" s="12" t="n">
        <v>14.7</v>
      </c>
      <c r="F13" s="13" t="n">
        <v>162.9</v>
      </c>
      <c r="G13" s="13" t="n">
        <v>310.2</v>
      </c>
      <c r="H13" s="13" t="n">
        <v>781.9</v>
      </c>
      <c r="I13" s="13" t="n">
        <v>782.2</v>
      </c>
      <c r="J13" s="13" t="n">
        <v>1189.1</v>
      </c>
      <c r="K13" s="9" t="n">
        <v>6.5</v>
      </c>
      <c r="L13" s="10" t="n">
        <v>32</v>
      </c>
      <c r="M13" s="9" t="n">
        <v>14</v>
      </c>
      <c r="N13" s="24" t="n">
        <v>8.9</v>
      </c>
      <c r="O13" s="24" t="n">
        <v>3.8</v>
      </c>
      <c r="P13" s="24" t="n">
        <v>5.1</v>
      </c>
      <c r="Q13" s="11" t="n">
        <v>7.1</v>
      </c>
      <c r="R13" s="7" t="inlineStr">
        <is>
          <t>Rooftop Solar on factory sheds</t>
        </is>
      </c>
      <c r="S13" s="7" t="inlineStr">
        <is>
          <t>50% RE by 2028</t>
        </is>
      </c>
    </row>
    <row r="14" ht="20" customHeight="1">
      <c r="A14" s="14" t="inlineStr">
        <is>
          <t>Subros Ltd</t>
        </is>
      </c>
      <c r="B14" s="15" t="inlineStr">
        <is>
          <t>SUBROS</t>
        </is>
      </c>
      <c r="C14" s="15" t="inlineStr">
        <is>
          <t>Small Cap</t>
        </is>
      </c>
      <c r="D14" s="15" t="inlineStr">
        <is>
          <t>Automotive &amp; Ancillary</t>
        </is>
      </c>
      <c r="E14" s="19" t="n">
        <v>-34.5</v>
      </c>
      <c r="F14" s="19" t="n">
        <v>-6.3</v>
      </c>
      <c r="G14" s="19" t="n">
        <v>82.59999999999999</v>
      </c>
      <c r="H14" s="19" t="n">
        <v>95.3</v>
      </c>
      <c r="I14" s="20" t="n">
        <v>116.3</v>
      </c>
      <c r="J14" s="20" t="n">
        <v>177</v>
      </c>
      <c r="K14" s="16" t="n">
        <v>5.5</v>
      </c>
      <c r="L14" s="17" t="n">
        <v>22</v>
      </c>
      <c r="M14" s="16" t="n">
        <v>12</v>
      </c>
      <c r="N14" s="25" t="n">
        <v>8.699999999999999</v>
      </c>
      <c r="O14" s="25" t="n">
        <v>3.8</v>
      </c>
      <c r="P14" s="25" t="n">
        <v>4.9</v>
      </c>
      <c r="Q14" s="18" t="n">
        <v>5.9</v>
      </c>
      <c r="R14" s="14" t="inlineStr">
        <is>
          <t>Rooftop Solar PV</t>
        </is>
      </c>
      <c r="S14" s="14" t="inlineStr">
        <is>
          <t>35% RE by 2029</t>
        </is>
      </c>
    </row>
    <row r="15" ht="20" customHeight="1">
      <c r="A15" s="7" t="inlineStr">
        <is>
          <t>Sharda Motor Industries</t>
        </is>
      </c>
      <c r="B15" s="8" t="inlineStr">
        <is>
          <t>SHARDAMOTR</t>
        </is>
      </c>
      <c r="C15" s="8" t="inlineStr">
        <is>
          <t>Small Cap</t>
        </is>
      </c>
      <c r="D15" s="8" t="inlineStr">
        <is>
          <t>Automotive &amp; Ancillary</t>
        </is>
      </c>
      <c r="E15" s="12" t="n">
        <v>-15.6</v>
      </c>
      <c r="F15" s="12" t="n">
        <v>-63.6</v>
      </c>
      <c r="G15" s="12" t="n">
        <v>-9.699999999999999</v>
      </c>
      <c r="H15" s="12" t="n">
        <v>8.199999999999999</v>
      </c>
      <c r="I15" s="12" t="n">
        <v>44.7</v>
      </c>
      <c r="J15" s="13" t="n">
        <v>417.7</v>
      </c>
      <c r="K15" s="9" t="n">
        <v>4.5</v>
      </c>
      <c r="L15" s="10" t="n">
        <v>20</v>
      </c>
      <c r="M15" s="9" t="n">
        <v>10</v>
      </c>
      <c r="N15" s="24" t="n">
        <v>8.800000000000001</v>
      </c>
      <c r="O15" s="24" t="n">
        <v>3.8</v>
      </c>
      <c r="P15" s="24" t="n">
        <v>5</v>
      </c>
      <c r="Q15" s="11" t="n">
        <v>5</v>
      </c>
      <c r="R15" s="7" t="inlineStr">
        <is>
          <t>Rooftop Solar on manufacturing units</t>
        </is>
      </c>
      <c r="S15" s="7" t="inlineStr">
        <is>
          <t>30% RE by 2030</t>
        </is>
      </c>
    </row>
    <row r="16" ht="20" customHeight="1">
      <c r="A16" s="14" t="inlineStr">
        <is>
          <t>Larsen &amp; Toubro Ltd</t>
        </is>
      </c>
      <c r="B16" s="15" t="inlineStr">
        <is>
          <t>LT</t>
        </is>
      </c>
      <c r="C16" s="15" t="inlineStr">
        <is>
          <t>Large Cap</t>
        </is>
      </c>
      <c r="D16" s="15" t="inlineStr">
        <is>
          <t>Capital Goods &amp; Engineering</t>
        </is>
      </c>
      <c r="E16" s="19" t="n">
        <v>8.300000000000001</v>
      </c>
      <c r="F16" s="19" t="n">
        <v>7.9</v>
      </c>
      <c r="G16" s="19" t="n">
        <v>31.1</v>
      </c>
      <c r="H16" s="20" t="n">
        <v>114.5</v>
      </c>
      <c r="I16" s="20" t="n">
        <v>132.8</v>
      </c>
      <c r="J16" s="20" t="n">
        <v>339.7</v>
      </c>
      <c r="K16" s="16" t="n">
        <v>65</v>
      </c>
      <c r="L16" s="17" t="n">
        <v>38</v>
      </c>
      <c r="M16" s="16" t="n">
        <v>145</v>
      </c>
      <c r="N16" s="25" t="n">
        <v>8.4</v>
      </c>
      <c r="O16" s="25" t="n">
        <v>3.9</v>
      </c>
      <c r="P16" s="25" t="n">
        <v>4.5</v>
      </c>
      <c r="Q16" s="18" t="n">
        <v>65.3</v>
      </c>
      <c r="R16" s="14" t="inlineStr">
        <is>
          <t>Rooftop &amp; Ground Mounted Solar (Hazira/Chennai)</t>
        </is>
      </c>
      <c r="S16" s="14" t="inlineStr">
        <is>
          <t>Water &amp; Carbon Neutral by 2040</t>
        </is>
      </c>
    </row>
    <row r="17" ht="20" customHeight="1">
      <c r="A17" s="7" t="inlineStr">
        <is>
          <t>Supreme Industries Ltd</t>
        </is>
      </c>
      <c r="B17" s="8" t="inlineStr">
        <is>
          <t>SUPREMEIND</t>
        </is>
      </c>
      <c r="C17" s="8" t="inlineStr">
        <is>
          <t>Mid Cap</t>
        </is>
      </c>
      <c r="D17" s="8" t="inlineStr">
        <is>
          <t>Capital Goods &amp; Engineering</t>
        </is>
      </c>
      <c r="E17" s="12" t="n">
        <v>-17.6</v>
      </c>
      <c r="F17" s="12" t="n">
        <v>-34.7</v>
      </c>
      <c r="G17" s="12" t="n">
        <v>-15.7</v>
      </c>
      <c r="H17" s="12" t="n">
        <v>62.9</v>
      </c>
      <c r="I17" s="12" t="n">
        <v>48.9</v>
      </c>
      <c r="J17" s="13" t="n">
        <v>148.1</v>
      </c>
      <c r="K17" s="9" t="n">
        <v>32</v>
      </c>
      <c r="L17" s="10" t="n">
        <v>28</v>
      </c>
      <c r="M17" s="9" t="n">
        <v>75</v>
      </c>
      <c r="N17" s="24" t="n">
        <v>8.5</v>
      </c>
      <c r="O17" s="24" t="n">
        <v>3.75</v>
      </c>
      <c r="P17" s="24" t="n">
        <v>4.75</v>
      </c>
      <c r="Q17" s="11" t="n">
        <v>35.6</v>
      </c>
      <c r="R17" s="7" t="inlineStr">
        <is>
          <t>Rooftop Solar on all manufacturing units</t>
        </is>
      </c>
      <c r="S17" s="7" t="inlineStr">
        <is>
          <t>40% RE by 2028</t>
        </is>
      </c>
    </row>
    <row r="18" ht="20" customHeight="1">
      <c r="A18" s="14" t="inlineStr">
        <is>
          <t>Cummins India Ltd</t>
        </is>
      </c>
      <c r="B18" s="15" t="inlineStr">
        <is>
          <t>CUMMINSIND</t>
        </is>
      </c>
      <c r="C18" s="15" t="inlineStr">
        <is>
          <t>Mid Cap</t>
        </is>
      </c>
      <c r="D18" s="15" t="inlineStr">
        <is>
          <t>Capital Goods &amp; Engineering</t>
        </is>
      </c>
      <c r="E18" s="19" t="n">
        <v>28.2</v>
      </c>
      <c r="F18" s="19" t="n">
        <v>32.3</v>
      </c>
      <c r="G18" s="20" t="n">
        <v>196.8</v>
      </c>
      <c r="H18" s="20" t="n">
        <v>321</v>
      </c>
      <c r="I18" s="20" t="n">
        <v>407.6</v>
      </c>
      <c r="J18" s="20" t="n">
        <v>1031</v>
      </c>
      <c r="K18" s="16" t="n">
        <v>14</v>
      </c>
      <c r="L18" s="17" t="n">
        <v>45</v>
      </c>
      <c r="M18" s="16" t="n">
        <v>28</v>
      </c>
      <c r="N18" s="25" t="n">
        <v>8.9</v>
      </c>
      <c r="O18" s="25" t="n">
        <v>3.8</v>
      </c>
      <c r="P18" s="25" t="n">
        <v>5.1</v>
      </c>
      <c r="Q18" s="18" t="n">
        <v>14.3</v>
      </c>
      <c r="R18" s="14" t="inlineStr">
        <is>
          <t>Rooftop Solar installations</t>
        </is>
      </c>
      <c r="S18" s="14" t="inlineStr">
        <is>
          <t>Planet 2050 target, 50% RE by 2030</t>
        </is>
      </c>
    </row>
    <row r="19" ht="20" customHeight="1">
      <c r="A19" s="7" t="inlineStr">
        <is>
          <t>UltraTech Cement Ltd</t>
        </is>
      </c>
      <c r="B19" s="8" t="inlineStr">
        <is>
          <t>ULTRACEMCO</t>
        </is>
      </c>
      <c r="C19" s="8" t="inlineStr">
        <is>
          <t>Large Cap</t>
        </is>
      </c>
      <c r="D19" s="8" t="inlineStr">
        <is>
          <t>Cement &amp; Building Materials</t>
        </is>
      </c>
      <c r="E19" s="12" t="n">
        <v>-6.7</v>
      </c>
      <c r="F19" s="12" t="n">
        <v>-3.3</v>
      </c>
      <c r="G19" s="12" t="n">
        <v>38.2</v>
      </c>
      <c r="H19" s="12" t="n">
        <v>82.40000000000001</v>
      </c>
      <c r="I19" s="12" t="n">
        <v>54.2</v>
      </c>
      <c r="J19" s="13" t="n">
        <v>181.7</v>
      </c>
      <c r="K19" s="9" t="n">
        <v>1363</v>
      </c>
      <c r="L19" s="10" t="n">
        <v>32</v>
      </c>
      <c r="M19" s="9" t="n">
        <v>3600</v>
      </c>
      <c r="N19" s="24" t="n">
        <v>8.199999999999999</v>
      </c>
      <c r="O19" s="24" t="n">
        <v>3.8</v>
      </c>
      <c r="P19" s="24" t="n">
        <v>4.4</v>
      </c>
      <c r="Q19" s="11" t="n">
        <v>1584</v>
      </c>
      <c r="R19" s="7" t="inlineStr">
        <is>
          <t>Group Captive Solar/Wind + WHRS</t>
        </is>
      </c>
      <c r="S19" s="7" t="inlineStr">
        <is>
          <t>85% Green by 2030, RE100 (100% by 2050)</t>
        </is>
      </c>
    </row>
    <row r="20" ht="20" customHeight="1">
      <c r="A20" s="14" t="inlineStr">
        <is>
          <t>Shree Cement Ltd</t>
        </is>
      </c>
      <c r="B20" s="15" t="inlineStr">
        <is>
          <t>SHREECEM</t>
        </is>
      </c>
      <c r="C20" s="15" t="inlineStr">
        <is>
          <t>Mid Cap</t>
        </is>
      </c>
      <c r="D20" s="15" t="inlineStr">
        <is>
          <t>Cement &amp; Building Materials</t>
        </is>
      </c>
      <c r="E20" s="19" t="n">
        <v>-18.5</v>
      </c>
      <c r="F20" s="19" t="n">
        <v>-9.300000000000001</v>
      </c>
      <c r="G20" s="19" t="n">
        <v>-6.3</v>
      </c>
      <c r="H20" s="19" t="n">
        <v>13.4</v>
      </c>
      <c r="I20" s="19" t="n">
        <v>-17.5</v>
      </c>
      <c r="J20" s="19" t="n">
        <v>17.8</v>
      </c>
      <c r="K20" s="16" t="n">
        <v>666.5</v>
      </c>
      <c r="L20" s="17" t="n">
        <v>58</v>
      </c>
      <c r="M20" s="16" t="n">
        <v>1950</v>
      </c>
      <c r="N20" s="25" t="n">
        <v>8.1</v>
      </c>
      <c r="O20" s="25" t="n">
        <v>3.6</v>
      </c>
      <c r="P20" s="25" t="n">
        <v>4.5</v>
      </c>
      <c r="Q20" s="18" t="n">
        <v>877.5</v>
      </c>
      <c r="R20" s="14" t="inlineStr">
        <is>
          <t>Captive Solar/Wind parks + WHRS integration</t>
        </is>
      </c>
      <c r="S20" s="14" t="inlineStr">
        <is>
          <t>Reach &gt;65% Green Power by 2027</t>
        </is>
      </c>
    </row>
    <row r="21" ht="20" customHeight="1">
      <c r="A21" s="7" t="inlineStr">
        <is>
          <t>Dalmia Bharat Ltd</t>
        </is>
      </c>
      <c r="B21" s="8" t="inlineStr">
        <is>
          <t>DALBHARAT</t>
        </is>
      </c>
      <c r="C21" s="8" t="inlineStr">
        <is>
          <t>Mid Cap</t>
        </is>
      </c>
      <c r="D21" s="8" t="inlineStr">
        <is>
          <t>Cement &amp; Building Materials</t>
        </is>
      </c>
      <c r="E21" s="12" t="n">
        <v>-21.3</v>
      </c>
      <c r="F21" s="12" t="n">
        <v>-9.4</v>
      </c>
      <c r="G21" s="12" t="n">
        <v>-27.1</v>
      </c>
      <c r="H21" s="12" t="n">
        <v>9.6</v>
      </c>
      <c r="I21" s="12" t="n">
        <v>-16.8</v>
      </c>
      <c r="J21" s="13" t="n">
        <v>124.2</v>
      </c>
      <c r="K21" s="9" t="n">
        <v>410</v>
      </c>
      <c r="L21" s="10" t="n">
        <v>47</v>
      </c>
      <c r="M21" s="9" t="n">
        <v>850</v>
      </c>
      <c r="N21" s="24" t="n">
        <v>8</v>
      </c>
      <c r="O21" s="24" t="n">
        <v>3.7</v>
      </c>
      <c r="P21" s="24" t="n">
        <v>4.3</v>
      </c>
      <c r="Q21" s="11" t="n">
        <v>365.5</v>
      </c>
      <c r="R21" s="7" t="inlineStr">
        <is>
          <t>RE100, Captive Solar + Open Access</t>
        </is>
      </c>
      <c r="S21" s="7" t="inlineStr">
        <is>
          <t>100% RE by 2030, Carbon Negative 2040</t>
        </is>
      </c>
    </row>
    <row r="22" ht="20" customHeight="1">
      <c r="A22" s="14" t="inlineStr">
        <is>
          <t>The Ramco Cements Ltd</t>
        </is>
      </c>
      <c r="B22" s="15" t="inlineStr">
        <is>
          <t>RAMCOCEM</t>
        </is>
      </c>
      <c r="C22" s="15" t="inlineStr">
        <is>
          <t>Mid Cap</t>
        </is>
      </c>
      <c r="D22" s="15" t="inlineStr">
        <is>
          <t>Cement &amp; Building Materials</t>
        </is>
      </c>
      <c r="E22" s="19" t="n">
        <v>-10.5</v>
      </c>
      <c r="F22" s="19" t="n">
        <v>1.7</v>
      </c>
      <c r="G22" s="19" t="n">
        <v>-3.1</v>
      </c>
      <c r="H22" s="19" t="n">
        <v>16.9</v>
      </c>
      <c r="I22" s="19" t="n">
        <v>-10.4</v>
      </c>
      <c r="J22" s="19" t="n">
        <v>17.1</v>
      </c>
      <c r="K22" s="16" t="n">
        <v>215</v>
      </c>
      <c r="L22" s="17" t="n">
        <v>42</v>
      </c>
      <c r="M22" s="16" t="n">
        <v>480</v>
      </c>
      <c r="N22" s="25" t="n">
        <v>8.300000000000001</v>
      </c>
      <c r="O22" s="25" t="n">
        <v>3.75</v>
      </c>
      <c r="P22" s="25" t="n">
        <v>4.55</v>
      </c>
      <c r="Q22" s="18" t="n">
        <v>218.4</v>
      </c>
      <c r="R22" s="14" t="inlineStr">
        <is>
          <t>Captive Wind farms in TN + Rooftop Solar</t>
        </is>
      </c>
      <c r="S22" s="14" t="inlineStr">
        <is>
          <t>60% RE by 2030</t>
        </is>
      </c>
    </row>
    <row r="23" ht="20" customHeight="1">
      <c r="A23" s="7" t="inlineStr">
        <is>
          <t>Birla Corporation Ltd</t>
        </is>
      </c>
      <c r="B23" s="8" t="inlineStr">
        <is>
          <t>BIRLACORPN</t>
        </is>
      </c>
      <c r="C23" s="8" t="inlineStr">
        <is>
          <t>Small Cap</t>
        </is>
      </c>
      <c r="D23" s="8" t="inlineStr">
        <is>
          <t>Cement &amp; Building Materials</t>
        </is>
      </c>
      <c r="E23" s="12" t="n">
        <v>-26.8</v>
      </c>
      <c r="F23" s="12" t="n">
        <v>-29.6</v>
      </c>
      <c r="G23" s="12" t="n">
        <v>-27.5</v>
      </c>
      <c r="H23" s="12" t="n">
        <v>-6.6</v>
      </c>
      <c r="I23" s="12" t="n">
        <v>-37.9</v>
      </c>
      <c r="J23" s="12" t="n">
        <v>33.9</v>
      </c>
      <c r="K23" s="9" t="n">
        <v>55</v>
      </c>
      <c r="L23" s="10" t="n">
        <v>30</v>
      </c>
      <c r="M23" s="9" t="n">
        <v>135</v>
      </c>
      <c r="N23" s="24" t="n">
        <v>8.1</v>
      </c>
      <c r="O23" s="24" t="n">
        <v>3.75</v>
      </c>
      <c r="P23" s="24" t="n">
        <v>4.35</v>
      </c>
      <c r="Q23" s="11" t="n">
        <v>58.7</v>
      </c>
      <c r="R23" s="7" t="inlineStr">
        <is>
          <t>Onsite Solar + Open access wind/solar</t>
        </is>
      </c>
      <c r="S23" s="7" t="inlineStr">
        <is>
          <t>45% RE by 2029</t>
        </is>
      </c>
    </row>
    <row r="24" ht="20" customHeight="1">
      <c r="A24" s="14" t="inlineStr">
        <is>
          <t>Orient Cement Ltd</t>
        </is>
      </c>
      <c r="B24" s="15" t="inlineStr">
        <is>
          <t>ORIENTCEM</t>
        </is>
      </c>
      <c r="C24" s="15" t="inlineStr">
        <is>
          <t>Small Cap</t>
        </is>
      </c>
      <c r="D24" s="15" t="inlineStr">
        <is>
          <t>Cement &amp; Building Materials</t>
        </is>
      </c>
      <c r="E24" s="19" t="n">
        <v>-40.8</v>
      </c>
      <c r="F24" s="19" t="n">
        <v>-55.3</v>
      </c>
      <c r="G24" s="19" t="n">
        <v>-27.2</v>
      </c>
      <c r="H24" s="19" t="n">
        <v>0.1</v>
      </c>
      <c r="I24" s="19" t="n">
        <v>-18.4</v>
      </c>
      <c r="J24" s="20" t="n">
        <v>111.8</v>
      </c>
      <c r="K24" s="16" t="n">
        <v>50</v>
      </c>
      <c r="L24" s="17" t="n">
        <v>38</v>
      </c>
      <c r="M24" s="16" t="n">
        <v>110</v>
      </c>
      <c r="N24" s="25" t="n">
        <v>8</v>
      </c>
      <c r="O24" s="25" t="n">
        <v>3.75</v>
      </c>
      <c r="P24" s="25" t="n">
        <v>4.25</v>
      </c>
      <c r="Q24" s="18" t="n">
        <v>46.8</v>
      </c>
      <c r="R24" s="14" t="inlineStr">
        <is>
          <t>Solar PPA with Cleantech + WHRS</t>
        </is>
      </c>
      <c r="S24" s="14" t="inlineStr">
        <is>
          <t>55% Green Power by 2030</t>
        </is>
      </c>
    </row>
    <row r="25" ht="20" customHeight="1">
      <c r="A25" s="7" t="inlineStr">
        <is>
          <t>Sagar Cements Ltd</t>
        </is>
      </c>
      <c r="B25" s="8" t="inlineStr">
        <is>
          <t>SAGCEM</t>
        </is>
      </c>
      <c r="C25" s="8" t="inlineStr">
        <is>
          <t>Small Cap</t>
        </is>
      </c>
      <c r="D25" s="8" t="inlineStr">
        <is>
          <t>Cement &amp; Building Materials</t>
        </is>
      </c>
      <c r="E25" s="12" t="n">
        <v>-38.4</v>
      </c>
      <c r="F25" s="12" t="n">
        <v>-33.9</v>
      </c>
      <c r="G25" s="12" t="n">
        <v>-34.5</v>
      </c>
      <c r="H25" s="12" t="n">
        <v>-23.3</v>
      </c>
      <c r="I25" s="12" t="n">
        <v>-48.2</v>
      </c>
      <c r="J25" s="12" t="n">
        <v>47.8</v>
      </c>
      <c r="K25" s="9" t="n">
        <v>25.5</v>
      </c>
      <c r="L25" s="10" t="n">
        <v>36</v>
      </c>
      <c r="M25" s="9" t="n">
        <v>78</v>
      </c>
      <c r="N25" s="24" t="n">
        <v>8.1</v>
      </c>
      <c r="O25" s="24" t="n">
        <v>3.7</v>
      </c>
      <c r="P25" s="24" t="n">
        <v>4.4</v>
      </c>
      <c r="Q25" s="11" t="n">
        <v>34.3</v>
      </c>
      <c r="R25" s="7" t="inlineStr">
        <is>
          <t>Captive Solar Plant at Mattampally &amp; WHRS</t>
        </is>
      </c>
      <c r="S25" s="7" t="inlineStr">
        <is>
          <t>50% Green Power by 2028</t>
        </is>
      </c>
    </row>
    <row r="26" ht="20" customHeight="1">
      <c r="A26" s="14" t="inlineStr">
        <is>
          <t>Kajaria Ceramics Ltd</t>
        </is>
      </c>
      <c r="B26" s="15" t="inlineStr">
        <is>
          <t>KAJARIACER</t>
        </is>
      </c>
      <c r="C26" s="15" t="inlineStr">
        <is>
          <t>Small Cap</t>
        </is>
      </c>
      <c r="D26" s="15" t="inlineStr">
        <is>
          <t>Cement &amp; Building Materials</t>
        </is>
      </c>
      <c r="E26" s="19" t="n">
        <v>5.8</v>
      </c>
      <c r="F26" s="19" t="n">
        <v>-15.8</v>
      </c>
      <c r="G26" s="19" t="n">
        <v>-6.6</v>
      </c>
      <c r="H26" s="19" t="n">
        <v>2.9</v>
      </c>
      <c r="I26" s="19" t="n">
        <v>3.2</v>
      </c>
      <c r="J26" s="20" t="n">
        <v>123.1</v>
      </c>
      <c r="K26" s="16" t="n">
        <v>12.5</v>
      </c>
      <c r="L26" s="17" t="n">
        <v>24</v>
      </c>
      <c r="M26" s="16" t="n">
        <v>28</v>
      </c>
      <c r="N26" s="25" t="n">
        <v>8.5</v>
      </c>
      <c r="O26" s="25" t="n">
        <v>3.7</v>
      </c>
      <c r="P26" s="25" t="n">
        <v>4.8</v>
      </c>
      <c r="Q26" s="18" t="n">
        <v>13.4</v>
      </c>
      <c r="R26" s="14" t="inlineStr">
        <is>
          <t>Factory Rooftop Solar PV</t>
        </is>
      </c>
      <c r="S26" s="14" t="inlineStr">
        <is>
          <t>35% RE by 2028</t>
        </is>
      </c>
    </row>
    <row r="27" ht="20" customHeight="1">
      <c r="A27" s="7" t="inlineStr">
        <is>
          <t>Somany Ceramics Ltd</t>
        </is>
      </c>
      <c r="B27" s="8" t="inlineStr">
        <is>
          <t>SOMANYCERA</t>
        </is>
      </c>
      <c r="C27" s="8" t="inlineStr">
        <is>
          <t>Small Cap</t>
        </is>
      </c>
      <c r="D27" s="8" t="inlineStr">
        <is>
          <t>Cement &amp; Building Materials</t>
        </is>
      </c>
      <c r="E27" s="12" t="n">
        <v>24.7</v>
      </c>
      <c r="F27" s="12" t="n">
        <v>-23.6</v>
      </c>
      <c r="G27" s="12" t="n">
        <v>-19.6</v>
      </c>
      <c r="H27" s="12" t="n">
        <v>1.8</v>
      </c>
      <c r="I27" s="12" t="n">
        <v>-26.3</v>
      </c>
      <c r="J27" s="13" t="n">
        <v>185.8</v>
      </c>
      <c r="K27" s="9" t="n">
        <v>8.5</v>
      </c>
      <c r="L27" s="10" t="n">
        <v>20</v>
      </c>
      <c r="M27" s="9" t="n">
        <v>18</v>
      </c>
      <c r="N27" s="24" t="n">
        <v>8.6</v>
      </c>
      <c r="O27" s="24" t="n">
        <v>3.75</v>
      </c>
      <c r="P27" s="24" t="n">
        <v>4.85</v>
      </c>
      <c r="Q27" s="11" t="n">
        <v>8.699999999999999</v>
      </c>
      <c r="R27" s="7" t="inlineStr">
        <is>
          <t>Onsite Rooftop Solar</t>
        </is>
      </c>
      <c r="S27" s="7" t="inlineStr">
        <is>
          <t>30% RE by 2028</t>
        </is>
      </c>
    </row>
    <row r="28" ht="20" customHeight="1">
      <c r="A28" s="14" t="inlineStr">
        <is>
          <t>Grasim Industries Ltd</t>
        </is>
      </c>
      <c r="B28" s="15" t="inlineStr">
        <is>
          <t>GRASIM</t>
        </is>
      </c>
      <c r="C28" s="15" t="inlineStr">
        <is>
          <t>Large Cap</t>
        </is>
      </c>
      <c r="D28" s="15" t="inlineStr">
        <is>
          <t>Chemicals &amp; Petrochemicals</t>
        </is>
      </c>
      <c r="E28" s="19" t="n">
        <v>20.5</v>
      </c>
      <c r="F28" s="19" t="n">
        <v>18.8</v>
      </c>
      <c r="G28" s="19" t="n">
        <v>71.7</v>
      </c>
      <c r="H28" s="19" t="n">
        <v>99.09999999999999</v>
      </c>
      <c r="I28" s="19" t="n">
        <v>99.8</v>
      </c>
      <c r="J28" s="20" t="n">
        <v>348.2</v>
      </c>
      <c r="K28" s="16" t="n">
        <v>185</v>
      </c>
      <c r="L28" s="17" t="n">
        <v>24</v>
      </c>
      <c r="M28" s="16" t="n">
        <v>450</v>
      </c>
      <c r="N28" s="25" t="n">
        <v>7.9</v>
      </c>
      <c r="O28" s="25" t="n">
        <v>3.8</v>
      </c>
      <c r="P28" s="25" t="n">
        <v>4.1</v>
      </c>
      <c r="Q28" s="18" t="n">
        <v>184.5</v>
      </c>
      <c r="R28" s="14" t="inlineStr">
        <is>
          <t>Group Captive Solar/Wind + Biomass</t>
        </is>
      </c>
      <c r="S28" s="14" t="inlineStr">
        <is>
          <t>50% RE by 2030</t>
        </is>
      </c>
    </row>
    <row r="29" ht="20" customHeight="1">
      <c r="A29" s="7" t="inlineStr">
        <is>
          <t>SRF Ltd</t>
        </is>
      </c>
      <c r="B29" s="8" t="inlineStr">
        <is>
          <t>SRF</t>
        </is>
      </c>
      <c r="C29" s="8" t="inlineStr">
        <is>
          <t>Mid Cap</t>
        </is>
      </c>
      <c r="D29" s="8" t="inlineStr">
        <is>
          <t>Chemicals &amp; Petrochemicals</t>
        </is>
      </c>
      <c r="E29" s="12" t="n">
        <v>-9.800000000000001</v>
      </c>
      <c r="F29" s="12" t="n">
        <v>2</v>
      </c>
      <c r="G29" s="12" t="n">
        <v>13.2</v>
      </c>
      <c r="H29" s="12" t="n">
        <v>1.7</v>
      </c>
      <c r="I29" s="12" t="n">
        <v>12.9</v>
      </c>
      <c r="J29" s="13" t="n">
        <v>208.3</v>
      </c>
      <c r="K29" s="9" t="n">
        <v>65</v>
      </c>
      <c r="L29" s="10" t="n">
        <v>22</v>
      </c>
      <c r="M29" s="9" t="n">
        <v>160</v>
      </c>
      <c r="N29" s="24" t="n">
        <v>8</v>
      </c>
      <c r="O29" s="24" t="n">
        <v>3.85</v>
      </c>
      <c r="P29" s="24" t="n">
        <v>4.15</v>
      </c>
      <c r="Q29" s="11" t="n">
        <v>66.40000000000001</v>
      </c>
      <c r="R29" s="7" t="inlineStr">
        <is>
          <t>Open Access Solar in Rajasthan &amp; MP</t>
        </is>
      </c>
      <c r="S29" s="7" t="inlineStr">
        <is>
          <t>35% RE by 2028</t>
        </is>
      </c>
    </row>
    <row r="30" ht="20" customHeight="1">
      <c r="A30" s="14" t="inlineStr">
        <is>
          <t>Asian Paints Ltd</t>
        </is>
      </c>
      <c r="B30" s="15" t="inlineStr">
        <is>
          <t>ASIANPAINT</t>
        </is>
      </c>
      <c r="C30" s="15" t="inlineStr">
        <is>
          <t>Large Cap</t>
        </is>
      </c>
      <c r="D30" s="15" t="inlineStr">
        <is>
          <t>Chemicals &amp; Petrochemicals</t>
        </is>
      </c>
      <c r="E30" s="19" t="n">
        <v>7.5</v>
      </c>
      <c r="F30" s="19" t="n">
        <v>-24.1</v>
      </c>
      <c r="G30" s="19" t="n">
        <v>-20</v>
      </c>
      <c r="H30" s="19" t="n">
        <v>-24.4</v>
      </c>
      <c r="I30" s="19" t="n">
        <v>-22.1</v>
      </c>
      <c r="J30" s="19" t="n">
        <v>27.2</v>
      </c>
      <c r="K30" s="16" t="n">
        <v>42</v>
      </c>
      <c r="L30" s="17" t="n">
        <v>61</v>
      </c>
      <c r="M30" s="16" t="n">
        <v>88</v>
      </c>
      <c r="N30" s="25" t="n">
        <v>8.6</v>
      </c>
      <c r="O30" s="25" t="n">
        <v>3.75</v>
      </c>
      <c r="P30" s="25" t="n">
        <v>4.85</v>
      </c>
      <c r="Q30" s="18" t="n">
        <v>42.7</v>
      </c>
      <c r="R30" s="14" t="inlineStr">
        <is>
          <t>Rooftop Solar on all 8 plants + Wind PPAs</t>
        </is>
      </c>
      <c r="S30" s="14" t="inlineStr">
        <is>
          <t>75% RE by 2028</t>
        </is>
      </c>
    </row>
    <row r="31" ht="20" customHeight="1">
      <c r="A31" s="7" t="inlineStr">
        <is>
          <t>PI Industries Ltd</t>
        </is>
      </c>
      <c r="B31" s="8" t="inlineStr">
        <is>
          <t>PIIND</t>
        </is>
      </c>
      <c r="C31" s="8" t="inlineStr">
        <is>
          <t>Mid Cap</t>
        </is>
      </c>
      <c r="D31" s="8" t="inlineStr">
        <is>
          <t>Chemicals &amp; Petrochemicals</t>
        </is>
      </c>
      <c r="E31" s="12" t="n">
        <v>-29.8</v>
      </c>
      <c r="F31" s="12" t="n">
        <v>-47.1</v>
      </c>
      <c r="G31" s="12" t="n">
        <v>-28.6</v>
      </c>
      <c r="H31" s="12" t="n">
        <v>-17.8</v>
      </c>
      <c r="I31" s="12" t="n">
        <v>-22.4</v>
      </c>
      <c r="J31" s="12" t="n">
        <v>25</v>
      </c>
      <c r="K31" s="9" t="n">
        <v>28</v>
      </c>
      <c r="L31" s="10" t="n">
        <v>31</v>
      </c>
      <c r="M31" s="9" t="n">
        <v>65</v>
      </c>
      <c r="N31" s="24" t="n">
        <v>8.199999999999999</v>
      </c>
      <c r="O31" s="24" t="n">
        <v>3.7</v>
      </c>
      <c r="P31" s="24" t="n">
        <v>4.5</v>
      </c>
      <c r="Q31" s="11" t="n">
        <v>29.3</v>
      </c>
      <c r="R31" s="7" t="inlineStr">
        <is>
          <t>Onsite Rooftop Solar + Offsite Open Access</t>
        </is>
      </c>
      <c r="S31" s="7" t="inlineStr">
        <is>
          <t>45% RE by 2030</t>
        </is>
      </c>
    </row>
    <row r="32" ht="20" customHeight="1">
      <c r="A32" s="14" t="inlineStr">
        <is>
          <t>Reliance Industries Ltd</t>
        </is>
      </c>
      <c r="B32" s="15" t="inlineStr">
        <is>
          <t>RELIANCE</t>
        </is>
      </c>
      <c r="C32" s="15" t="inlineStr">
        <is>
          <t>Large Cap</t>
        </is>
      </c>
      <c r="D32" s="15" t="inlineStr">
        <is>
          <t>Conglomerates &amp; Diversified</t>
        </is>
      </c>
      <c r="E32" s="19" t="n">
        <v>-3.1</v>
      </c>
      <c r="F32" s="19" t="n">
        <v>-10.5</v>
      </c>
      <c r="G32" s="19" t="n">
        <v>12.8</v>
      </c>
      <c r="H32" s="19" t="n">
        <v>20.5</v>
      </c>
      <c r="I32" s="19" t="n">
        <v>13.7</v>
      </c>
      <c r="J32" s="19" t="n">
        <v>28.2</v>
      </c>
      <c r="K32" s="16" t="n">
        <v>247</v>
      </c>
      <c r="L32" s="17" t="n">
        <v>10</v>
      </c>
      <c r="M32" s="16" t="n">
        <v>1200</v>
      </c>
      <c r="N32" s="25" t="n">
        <v>7.8</v>
      </c>
      <c r="O32" s="25" t="n">
        <v>3.4</v>
      </c>
      <c r="P32" s="25" t="n">
        <v>4.4</v>
      </c>
      <c r="Q32" s="18" t="n">
        <v>528</v>
      </c>
      <c r="R32" s="14" t="inlineStr">
        <is>
          <t>Captive Mega-Hubs + 28k Tower Solar</t>
        </is>
      </c>
      <c r="S32" s="14" t="inlineStr">
        <is>
          <t>100 GW RE by 2030, Net Zero 2035</t>
        </is>
      </c>
    </row>
    <row r="33" ht="20" customHeight="1">
      <c r="A33" s="7" t="inlineStr">
        <is>
          <t>Adani Ports and SEZ Ltd</t>
        </is>
      </c>
      <c r="B33" s="8" t="inlineStr">
        <is>
          <t>ADANIPORTS</t>
        </is>
      </c>
      <c r="C33" s="8" t="inlineStr">
        <is>
          <t>Large Cap</t>
        </is>
      </c>
      <c r="D33" s="8" t="inlineStr">
        <is>
          <t>Conglomerates &amp; Diversified</t>
        </is>
      </c>
      <c r="E33" s="12" t="n">
        <v>21.6</v>
      </c>
      <c r="F33" s="12" t="n">
        <v>17.9</v>
      </c>
      <c r="G33" s="13" t="n">
        <v>106.9</v>
      </c>
      <c r="H33" s="13" t="n">
        <v>108</v>
      </c>
      <c r="I33" s="13" t="n">
        <v>131.4</v>
      </c>
      <c r="J33" s="13" t="n">
        <v>399.6</v>
      </c>
      <c r="K33" s="9" t="n">
        <v>65</v>
      </c>
      <c r="L33" s="10" t="n">
        <v>39</v>
      </c>
      <c r="M33" s="9" t="n">
        <v>130</v>
      </c>
      <c r="N33" s="24" t="n">
        <v>8</v>
      </c>
      <c r="O33" s="24" t="n">
        <v>3.7</v>
      </c>
      <c r="P33" s="24" t="n">
        <v>4.3</v>
      </c>
      <c r="Q33" s="11" t="n">
        <v>55.9</v>
      </c>
      <c r="R33" s="7" t="inlineStr">
        <is>
          <t>Rooftop &amp; Port Land Solar PV</t>
        </is>
      </c>
      <c r="S33" s="7" t="inlineStr">
        <is>
          <t>Carbon Neutral by 2025, 100% RE by 2030</t>
        </is>
      </c>
    </row>
    <row r="34" ht="20" customHeight="1">
      <c r="A34" s="14" t="inlineStr">
        <is>
          <t>ITC Limited</t>
        </is>
      </c>
      <c r="B34" s="15" t="inlineStr">
        <is>
          <t>ITC</t>
        </is>
      </c>
      <c r="C34" s="15" t="inlineStr">
        <is>
          <t>Large Cap</t>
        </is>
      </c>
      <c r="D34" s="15" t="inlineStr">
        <is>
          <t>FMCG &amp; Consumer Goods</t>
        </is>
      </c>
      <c r="E34" s="19" t="n">
        <v>-34.2</v>
      </c>
      <c r="F34" s="19" t="n">
        <v>-47.1</v>
      </c>
      <c r="G34" s="19" t="n">
        <v>-38.3</v>
      </c>
      <c r="H34" s="19" t="n">
        <v>-17.4</v>
      </c>
      <c r="I34" s="19" t="n">
        <v>16.1</v>
      </c>
      <c r="J34" s="19" t="n">
        <v>59.7</v>
      </c>
      <c r="K34" s="16" t="n">
        <v>195</v>
      </c>
      <c r="L34" s="17" t="n">
        <v>52</v>
      </c>
      <c r="M34" s="16" t="n">
        <v>420</v>
      </c>
      <c r="N34" s="25" t="n">
        <v>8.5</v>
      </c>
      <c r="O34" s="25" t="n">
        <v>3.75</v>
      </c>
      <c r="P34" s="25" t="n">
        <v>4.75</v>
      </c>
      <c r="Q34" s="18" t="n">
        <v>199.5</v>
      </c>
      <c r="R34" s="14" t="inlineStr">
        <is>
          <t>Offsite Solar/Wind + Biomass boilers</t>
        </is>
      </c>
      <c r="S34" s="14" t="inlineStr">
        <is>
          <t>&gt;50% RE maintained; Sustainability 2.0</t>
        </is>
      </c>
    </row>
    <row r="35" ht="20" customHeight="1">
      <c r="A35" s="7" t="inlineStr">
        <is>
          <t>Titan Company Ltd</t>
        </is>
      </c>
      <c r="B35" s="8" t="inlineStr">
        <is>
          <t>TITAN</t>
        </is>
      </c>
      <c r="C35" s="8" t="inlineStr">
        <is>
          <t>Large Cap</t>
        </is>
      </c>
      <c r="D35" s="8" t="inlineStr">
        <is>
          <t>FMCG &amp; Consumer Goods</t>
        </is>
      </c>
      <c r="E35" s="12" t="n">
        <v>49.1</v>
      </c>
      <c r="F35" s="12" t="n">
        <v>31.3</v>
      </c>
      <c r="G35" s="12" t="n">
        <v>59.4</v>
      </c>
      <c r="H35" s="12" t="n">
        <v>92.59999999999999</v>
      </c>
      <c r="I35" s="13" t="n">
        <v>132.2</v>
      </c>
      <c r="J35" s="13" t="n">
        <v>317.9</v>
      </c>
      <c r="K35" s="9" t="n">
        <v>18</v>
      </c>
      <c r="L35" s="10" t="n">
        <v>72</v>
      </c>
      <c r="M35" s="9" t="n">
        <v>42</v>
      </c>
      <c r="N35" s="24" t="n">
        <v>8.699999999999999</v>
      </c>
      <c r="O35" s="24" t="n">
        <v>3.7</v>
      </c>
      <c r="P35" s="24" t="n">
        <v>5</v>
      </c>
      <c r="Q35" s="11" t="n">
        <v>21</v>
      </c>
      <c r="R35" s="7" t="inlineStr">
        <is>
          <t>Dedicated Solar Park + Rooftop Solar</t>
        </is>
      </c>
      <c r="S35" s="7" t="inlineStr">
        <is>
          <t>100% RE across manufacturing by 2027</t>
        </is>
      </c>
    </row>
    <row r="36" ht="20" customHeight="1">
      <c r="A36" s="14" t="inlineStr">
        <is>
          <t>Godrej Consumer Products</t>
        </is>
      </c>
      <c r="B36" s="15" t="inlineStr">
        <is>
          <t>GODREJCP</t>
        </is>
      </c>
      <c r="C36" s="15" t="inlineStr">
        <is>
          <t>Mid Cap</t>
        </is>
      </c>
      <c r="D36" s="15" t="inlineStr">
        <is>
          <t>FMCG &amp; Consumer Goods</t>
        </is>
      </c>
      <c r="E36" s="19" t="n">
        <v>-24.8</v>
      </c>
      <c r="F36" s="19" t="n">
        <v>-37</v>
      </c>
      <c r="G36" s="19" t="n">
        <v>-11.5</v>
      </c>
      <c r="H36" s="19" t="n">
        <v>-3.6</v>
      </c>
      <c r="I36" s="19" t="n">
        <v>-14.7</v>
      </c>
      <c r="J36" s="19" t="n">
        <v>21.1</v>
      </c>
      <c r="K36" s="16" t="n">
        <v>18</v>
      </c>
      <c r="L36" s="17" t="n">
        <v>42</v>
      </c>
      <c r="M36" s="16" t="n">
        <v>38</v>
      </c>
      <c r="N36" s="25" t="n">
        <v>8.6</v>
      </c>
      <c r="O36" s="25" t="n">
        <v>3.75</v>
      </c>
      <c r="P36" s="25" t="n">
        <v>4.85</v>
      </c>
      <c r="Q36" s="18" t="n">
        <v>18.4</v>
      </c>
      <c r="R36" s="14" t="inlineStr">
        <is>
          <t>Onsite Rooftop Solar + Green Tariff</t>
        </is>
      </c>
      <c r="S36" s="14" t="inlineStr">
        <is>
          <t>100% RE by 2030</t>
        </is>
      </c>
    </row>
    <row r="37" ht="20" customHeight="1">
      <c r="A37" s="7" t="inlineStr">
        <is>
          <t>Marico Ltd</t>
        </is>
      </c>
      <c r="B37" s="8" t="inlineStr">
        <is>
          <t>MARICO</t>
        </is>
      </c>
      <c r="C37" s="8" t="inlineStr">
        <is>
          <t>Mid Cap</t>
        </is>
      </c>
      <c r="D37" s="8" t="inlineStr">
        <is>
          <t>FMCG &amp; Consumer Goods</t>
        </is>
      </c>
      <c r="E37" s="12" t="n">
        <v>16.9</v>
      </c>
      <c r="F37" s="12" t="n">
        <v>17.2</v>
      </c>
      <c r="G37" s="12" t="n">
        <v>45.1</v>
      </c>
      <c r="H37" s="12" t="n">
        <v>51.6</v>
      </c>
      <c r="I37" s="12" t="n">
        <v>48.9</v>
      </c>
      <c r="J37" s="13" t="n">
        <v>124.6</v>
      </c>
      <c r="K37" s="9" t="n">
        <v>16</v>
      </c>
      <c r="L37" s="10" t="n">
        <v>65</v>
      </c>
      <c r="M37" s="9" t="n">
        <v>32</v>
      </c>
      <c r="N37" s="24" t="n">
        <v>8.5</v>
      </c>
      <c r="O37" s="24" t="n">
        <v>3.7</v>
      </c>
      <c r="P37" s="24" t="n">
        <v>4.8</v>
      </c>
      <c r="Q37" s="11" t="n">
        <v>15.4</v>
      </c>
      <c r="R37" s="7" t="inlineStr">
        <is>
          <t>Rooftop Solar on 100% of owned factories</t>
        </is>
      </c>
      <c r="S37" s="7" t="inlineStr">
        <is>
          <t>Net Zero emissions by 2040</t>
        </is>
      </c>
    </row>
    <row r="38" ht="20" customHeight="1">
      <c r="A38" s="14" t="inlineStr">
        <is>
          <t>Jubilant FoodWorks Ltd</t>
        </is>
      </c>
      <c r="B38" s="15" t="inlineStr">
        <is>
          <t>JUBLFOOD</t>
        </is>
      </c>
      <c r="C38" s="15" t="inlineStr">
        <is>
          <t>Mid Cap</t>
        </is>
      </c>
      <c r="D38" s="15" t="inlineStr">
        <is>
          <t>FMCG &amp; Consumer Goods</t>
        </is>
      </c>
      <c r="E38" s="19" t="n">
        <v>-21.8</v>
      </c>
      <c r="F38" s="19" t="n">
        <v>-29.2</v>
      </c>
      <c r="G38" s="19" t="n">
        <v>-9.5</v>
      </c>
      <c r="H38" s="19" t="n">
        <v>-22.5</v>
      </c>
      <c r="I38" s="19" t="n">
        <v>-40.3</v>
      </c>
      <c r="J38" s="19" t="n">
        <v>2.9</v>
      </c>
      <c r="K38" s="16" t="n">
        <v>12</v>
      </c>
      <c r="L38" s="17" t="n">
        <v>35</v>
      </c>
      <c r="M38" s="16" t="n">
        <v>24</v>
      </c>
      <c r="N38" s="25" t="n">
        <v>9.4</v>
      </c>
      <c r="O38" s="25" t="n">
        <v>4.1</v>
      </c>
      <c r="P38" s="25" t="n">
        <v>5.3</v>
      </c>
      <c r="Q38" s="18" t="n">
        <v>12.7</v>
      </c>
      <c r="R38" s="14" t="inlineStr">
        <is>
          <t>Green Open Access PPA for central kitchens</t>
        </is>
      </c>
      <c r="S38" s="14" t="inlineStr">
        <is>
          <t>50% RE by 2030</t>
        </is>
      </c>
    </row>
    <row r="39" ht="20" customHeight="1">
      <c r="A39" s="7" t="inlineStr">
        <is>
          <t>Voltas Ltd</t>
        </is>
      </c>
      <c r="B39" s="8" t="inlineStr">
        <is>
          <t>VOLTAS</t>
        </is>
      </c>
      <c r="C39" s="8" t="inlineStr">
        <is>
          <t>Mid Cap</t>
        </is>
      </c>
      <c r="D39" s="8" t="inlineStr">
        <is>
          <t>FMCG &amp; Consumer Goods</t>
        </is>
      </c>
      <c r="E39" s="12" t="n">
        <v>-13.6</v>
      </c>
      <c r="F39" s="12" t="n">
        <v>-36.6</v>
      </c>
      <c r="G39" s="12" t="n">
        <v>35.5</v>
      </c>
      <c r="H39" s="12" t="n">
        <v>29.1</v>
      </c>
      <c r="I39" s="12" t="n">
        <v>-3.9</v>
      </c>
      <c r="J39" s="12" t="n">
        <v>72</v>
      </c>
      <c r="K39" s="9" t="n">
        <v>8.5</v>
      </c>
      <c r="L39" s="10" t="n">
        <v>40</v>
      </c>
      <c r="M39" s="9" t="n">
        <v>16</v>
      </c>
      <c r="N39" s="24" t="n">
        <v>8.699999999999999</v>
      </c>
      <c r="O39" s="24" t="n">
        <v>3.75</v>
      </c>
      <c r="P39" s="24" t="n">
        <v>4.95</v>
      </c>
      <c r="Q39" s="11" t="n">
        <v>7.9</v>
      </c>
      <c r="R39" s="7" t="inlineStr">
        <is>
          <t>Factory Rooftop Solar PV</t>
        </is>
      </c>
      <c r="S39" s="7" t="inlineStr">
        <is>
          <t>50% RE by 2030</t>
        </is>
      </c>
    </row>
    <row r="40" ht="20" customHeight="1">
      <c r="A40" s="14" t="inlineStr">
        <is>
          <t>Infosys Ltd</t>
        </is>
      </c>
      <c r="B40" s="15" t="inlineStr">
        <is>
          <t>INFY</t>
        </is>
      </c>
      <c r="C40" s="15" t="inlineStr">
        <is>
          <t>Large Cap</t>
        </is>
      </c>
      <c r="D40" s="15" t="inlineStr">
        <is>
          <t>IT &amp; Software Services</t>
        </is>
      </c>
      <c r="E40" s="19" t="n">
        <v>-21.6</v>
      </c>
      <c r="F40" s="19" t="n">
        <v>-39.8</v>
      </c>
      <c r="G40" s="19" t="n">
        <v>-21.3</v>
      </c>
      <c r="H40" s="19" t="n">
        <v>-20.1</v>
      </c>
      <c r="I40" s="19" t="n">
        <v>-32.5</v>
      </c>
      <c r="J40" s="19" t="n">
        <v>12.1</v>
      </c>
      <c r="K40" s="16" t="n">
        <v>60</v>
      </c>
      <c r="L40" s="17" t="n">
        <v>77.7</v>
      </c>
      <c r="M40" s="16" t="n">
        <v>285</v>
      </c>
      <c r="N40" s="25" t="n">
        <v>9.199999999999999</v>
      </c>
      <c r="O40" s="25" t="n">
        <v>3.5</v>
      </c>
      <c r="P40" s="25" t="n">
        <v>5.7</v>
      </c>
      <c r="Q40" s="18" t="n">
        <v>162.5</v>
      </c>
      <c r="R40" s="14" t="inlineStr">
        <is>
          <t>Campus Rooftop PV + Green Tariffs</t>
        </is>
      </c>
      <c r="S40" s="14" t="inlineStr">
        <is>
          <t>RE100 Signatory, 100% RE electricity target</t>
        </is>
      </c>
    </row>
    <row r="41" ht="20" customHeight="1">
      <c r="A41" s="7" t="inlineStr">
        <is>
          <t>Wipro Ltd</t>
        </is>
      </c>
      <c r="B41" s="8" t="inlineStr">
        <is>
          <t>WIPRO</t>
        </is>
      </c>
      <c r="C41" s="8" t="inlineStr">
        <is>
          <t>Large Cap</t>
        </is>
      </c>
      <c r="D41" s="8" t="inlineStr">
        <is>
          <t>IT &amp; Software Services</t>
        </is>
      </c>
      <c r="E41" s="12" t="n">
        <v>-26.3</v>
      </c>
      <c r="F41" s="12" t="n">
        <v>-34.8</v>
      </c>
      <c r="G41" s="12" t="n">
        <v>-13.1</v>
      </c>
      <c r="H41" s="12" t="n">
        <v>-10.5</v>
      </c>
      <c r="I41" s="12" t="n">
        <v>-44.4</v>
      </c>
      <c r="J41" s="12" t="n">
        <v>12.5</v>
      </c>
      <c r="K41" s="9" t="n">
        <v>45</v>
      </c>
      <c r="L41" s="10" t="n">
        <v>68</v>
      </c>
      <c r="M41" s="9" t="n">
        <v>190</v>
      </c>
      <c r="N41" s="24" t="n">
        <v>9.1</v>
      </c>
      <c r="O41" s="24" t="n">
        <v>3.6</v>
      </c>
      <c r="P41" s="24" t="n">
        <v>5.5</v>
      </c>
      <c r="Q41" s="11" t="n">
        <v>104.5</v>
      </c>
      <c r="R41" s="7" t="inlineStr">
        <is>
          <t>PPA Open Access Solar + Campus Rooftop</t>
        </is>
      </c>
      <c r="S41" s="7" t="inlineStr">
        <is>
          <t>RE100, Net Zero GHG by 2040</t>
        </is>
      </c>
    </row>
    <row r="42" ht="20" customHeight="1">
      <c r="A42" s="14" t="inlineStr">
        <is>
          <t>HCL Technologies Ltd</t>
        </is>
      </c>
      <c r="B42" s="15" t="inlineStr">
        <is>
          <t>HCLTECH</t>
        </is>
      </c>
      <c r="C42" s="15" t="inlineStr">
        <is>
          <t>Large Cap</t>
        </is>
      </c>
      <c r="D42" s="15" t="inlineStr">
        <is>
          <t>IT &amp; Software Services</t>
        </is>
      </c>
      <c r="E42" s="19" t="n">
        <v>-6.6</v>
      </c>
      <c r="F42" s="19" t="n">
        <v>-28</v>
      </c>
      <c r="G42" s="19" t="n">
        <v>4.7</v>
      </c>
      <c r="H42" s="19" t="n">
        <v>38.7</v>
      </c>
      <c r="I42" s="19" t="n">
        <v>1.1</v>
      </c>
      <c r="J42" s="19" t="n">
        <v>59.4</v>
      </c>
      <c r="K42" s="16" t="n">
        <v>32</v>
      </c>
      <c r="L42" s="17" t="n">
        <v>62</v>
      </c>
      <c r="M42" s="16" t="n">
        <v>110</v>
      </c>
      <c r="N42" s="25" t="n">
        <v>9.199999999999999</v>
      </c>
      <c r="O42" s="25" t="n">
        <v>3.65</v>
      </c>
      <c r="P42" s="25" t="n">
        <v>5.55</v>
      </c>
      <c r="Q42" s="18" t="n">
        <v>61.1</v>
      </c>
      <c r="R42" s="14" t="inlineStr">
        <is>
          <t>Campus Rooftop PV + Green Open Access</t>
        </is>
      </c>
      <c r="S42" s="14" t="inlineStr">
        <is>
          <t>RE100, Net Zero by 2040</t>
        </is>
      </c>
    </row>
    <row r="43" ht="20" customHeight="1">
      <c r="A43" s="7" t="inlineStr">
        <is>
          <t>Tech Mahindra Ltd</t>
        </is>
      </c>
      <c r="B43" s="8" t="inlineStr">
        <is>
          <t>TECHM</t>
        </is>
      </c>
      <c r="C43" s="8" t="inlineStr">
        <is>
          <t>Large Cap</t>
        </is>
      </c>
      <c r="D43" s="8" t="inlineStr">
        <is>
          <t>IT &amp; Software Services</t>
        </is>
      </c>
      <c r="E43" s="12" t="n">
        <v>14</v>
      </c>
      <c r="F43" s="12" t="n">
        <v>1.2</v>
      </c>
      <c r="G43" s="12" t="n">
        <v>30.6</v>
      </c>
      <c r="H43" s="12" t="n">
        <v>58.3</v>
      </c>
      <c r="I43" s="12" t="n">
        <v>15.7</v>
      </c>
      <c r="J43" s="13" t="n">
        <v>101.7</v>
      </c>
      <c r="K43" s="9" t="n">
        <v>25</v>
      </c>
      <c r="L43" s="10" t="n">
        <v>58</v>
      </c>
      <c r="M43" s="9" t="n">
        <v>72</v>
      </c>
      <c r="N43" s="24" t="n">
        <v>9.300000000000001</v>
      </c>
      <c r="O43" s="24" t="n">
        <v>3.6</v>
      </c>
      <c r="P43" s="24" t="n">
        <v>5.7</v>
      </c>
      <c r="Q43" s="11" t="n">
        <v>41</v>
      </c>
      <c r="R43" s="7" t="inlineStr">
        <is>
          <t>Green Tariffs + Campus Solar</t>
        </is>
      </c>
      <c r="S43" s="7" t="inlineStr">
        <is>
          <t>RE100, 100% RE by 2030</t>
        </is>
      </c>
    </row>
    <row r="44" ht="20" customHeight="1">
      <c r="A44" s="14" t="inlineStr">
        <is>
          <t>Tata Steel Ltd</t>
        </is>
      </c>
      <c r="B44" s="15" t="inlineStr">
        <is>
          <t>TATASTEEL</t>
        </is>
      </c>
      <c r="C44" s="15" t="inlineStr">
        <is>
          <t>Large Cap</t>
        </is>
      </c>
      <c r="D44" s="15" t="inlineStr">
        <is>
          <t>Metals &amp; Mining</t>
        </is>
      </c>
      <c r="E44" s="19" t="n">
        <v>11.9</v>
      </c>
      <c r="F44" s="19" t="n">
        <v>12</v>
      </c>
      <c r="G44" s="19" t="n">
        <v>46.5</v>
      </c>
      <c r="H44" s="19" t="n">
        <v>90.09999999999999</v>
      </c>
      <c r="I44" s="19" t="n">
        <v>46.5</v>
      </c>
      <c r="J44" s="20" t="n">
        <v>424.8</v>
      </c>
      <c r="K44" s="16" t="n">
        <v>1036</v>
      </c>
      <c r="L44" s="17" t="n">
        <v>16</v>
      </c>
      <c r="M44" s="16" t="n">
        <v>2100</v>
      </c>
      <c r="N44" s="25" t="n">
        <v>8</v>
      </c>
      <c r="O44" s="25" t="n">
        <v>3.9</v>
      </c>
      <c r="P44" s="25" t="n">
        <v>4.1</v>
      </c>
      <c r="Q44" s="18" t="n">
        <v>861</v>
      </c>
      <c r="R44" s="14" t="inlineStr">
        <is>
          <t>Group Captive PPA with TPREL</t>
        </is>
      </c>
      <c r="S44" s="14" t="inlineStr">
        <is>
          <t>50% Green by 2030, Net Zero 2045</t>
        </is>
      </c>
    </row>
    <row r="45" ht="20" customHeight="1">
      <c r="A45" s="7" t="inlineStr">
        <is>
          <t>JSW Steel Ltd</t>
        </is>
      </c>
      <c r="B45" s="8" t="inlineStr">
        <is>
          <t>JSWSTEEL</t>
        </is>
      </c>
      <c r="C45" s="8" t="inlineStr">
        <is>
          <t>Large Cap</t>
        </is>
      </c>
      <c r="D45" s="8" t="inlineStr">
        <is>
          <t>Metals &amp; Mining</t>
        </is>
      </c>
      <c r="E45" s="12" t="n">
        <v>16</v>
      </c>
      <c r="F45" s="12" t="n">
        <v>28.6</v>
      </c>
      <c r="G45" s="12" t="n">
        <v>70</v>
      </c>
      <c r="H45" s="13" t="n">
        <v>109.8</v>
      </c>
      <c r="I45" s="12" t="n">
        <v>98.3</v>
      </c>
      <c r="J45" s="13" t="n">
        <v>377</v>
      </c>
      <c r="K45" s="9" t="n">
        <v>782</v>
      </c>
      <c r="L45" s="10" t="n">
        <v>14</v>
      </c>
      <c r="M45" s="9" t="n">
        <v>1750</v>
      </c>
      <c r="N45" s="24" t="n">
        <v>7.9</v>
      </c>
      <c r="O45" s="24" t="n">
        <v>3.85</v>
      </c>
      <c r="P45" s="24" t="n">
        <v>4.05</v>
      </c>
      <c r="Q45" s="11" t="n">
        <v>708.8</v>
      </c>
      <c r="R45" s="7" t="inlineStr">
        <is>
          <t>Group Captive PPA with JSW Energy</t>
        </is>
      </c>
      <c r="S45" s="7" t="inlineStr">
        <is>
          <t>1,000 MW Phase 1 + 1,500 MW Ph 2, Net Zero 2050</t>
        </is>
      </c>
    </row>
    <row r="46" ht="20" customHeight="1">
      <c r="A46" s="14" t="inlineStr">
        <is>
          <t>Jindal Stainless Ltd</t>
        </is>
      </c>
      <c r="B46" s="15" t="inlineStr">
        <is>
          <t>JINDALSTEL</t>
        </is>
      </c>
      <c r="C46" s="15" t="inlineStr">
        <is>
          <t>Mid Cap</t>
        </is>
      </c>
      <c r="D46" s="15" t="inlineStr">
        <is>
          <t>Metals &amp; Mining</t>
        </is>
      </c>
      <c r="E46" s="19" t="n">
        <v>9.5</v>
      </c>
      <c r="F46" s="19" t="n">
        <v>12.1</v>
      </c>
      <c r="G46" s="19" t="n">
        <v>66.09999999999999</v>
      </c>
      <c r="H46" s="20" t="n">
        <v>171.8</v>
      </c>
      <c r="I46" s="20" t="n">
        <v>199.3</v>
      </c>
      <c r="J46" s="20" t="n">
        <v>523.5</v>
      </c>
      <c r="K46" s="16" t="n">
        <v>300</v>
      </c>
      <c r="L46" s="17" t="n">
        <v>18</v>
      </c>
      <c r="M46" s="16" t="n">
        <v>650</v>
      </c>
      <c r="N46" s="25" t="n">
        <v>7.8</v>
      </c>
      <c r="O46" s="25" t="n">
        <v>3.8</v>
      </c>
      <c r="P46" s="25" t="n">
        <v>4</v>
      </c>
      <c r="Q46" s="18" t="n">
        <v>260</v>
      </c>
      <c r="R46" s="14" t="inlineStr">
        <is>
          <t>Captive Hybrid PPA with ReNew &amp; Rooftop</t>
        </is>
      </c>
      <c r="S46" s="14" t="inlineStr">
        <is>
          <t>50% Carbon Reduction by 2035</t>
        </is>
      </c>
    </row>
    <row r="47" ht="20" customHeight="1">
      <c r="A47" s="7" t="inlineStr">
        <is>
          <t>Hindalco Industries Ltd</t>
        </is>
      </c>
      <c r="B47" s="8" t="inlineStr">
        <is>
          <t>HINDALCO</t>
        </is>
      </c>
      <c r="C47" s="8" t="inlineStr">
        <is>
          <t>Large Cap</t>
        </is>
      </c>
      <c r="D47" s="8" t="inlineStr">
        <is>
          <t>Metals &amp; Mining</t>
        </is>
      </c>
      <c r="E47" s="12" t="n">
        <v>32.7</v>
      </c>
      <c r="F47" s="12" t="n">
        <v>33.7</v>
      </c>
      <c r="G47" s="13" t="n">
        <v>105.2</v>
      </c>
      <c r="H47" s="13" t="n">
        <v>158.9</v>
      </c>
      <c r="I47" s="13" t="n">
        <v>107.2</v>
      </c>
      <c r="J47" s="13" t="n">
        <v>476.9</v>
      </c>
      <c r="K47" s="9" t="n">
        <v>190</v>
      </c>
      <c r="L47" s="10" t="n">
        <v>8</v>
      </c>
      <c r="M47" s="9" t="n">
        <v>650</v>
      </c>
      <c r="N47" s="24" t="n">
        <v>7.5</v>
      </c>
      <c r="O47" s="24" t="n">
        <v>3.8</v>
      </c>
      <c r="P47" s="24" t="n">
        <v>3.7</v>
      </c>
      <c r="Q47" s="11" t="n">
        <v>240.5</v>
      </c>
      <c r="R47" s="7" t="inlineStr">
        <is>
          <t>RTC RE PPA with Greenko (Pumped Hydro)</t>
        </is>
      </c>
      <c r="S47" s="7" t="inlineStr">
        <is>
          <t>350 MW RTC RE for smelters, Net Zero 2050</t>
        </is>
      </c>
    </row>
    <row r="48" ht="20" customHeight="1">
      <c r="A48" s="14" t="inlineStr">
        <is>
          <t>Sun Pharmaceutical Ltd</t>
        </is>
      </c>
      <c r="B48" s="15" t="inlineStr">
        <is>
          <t>SUNPHARMA</t>
        </is>
      </c>
      <c r="C48" s="15" t="inlineStr">
        <is>
          <t>Large Cap</t>
        </is>
      </c>
      <c r="D48" s="15" t="inlineStr">
        <is>
          <t>Pharmaceuticals &amp; Healthcare</t>
        </is>
      </c>
      <c r="E48" s="19" t="n">
        <v>19.1</v>
      </c>
      <c r="F48" s="19" t="n">
        <v>-1.4</v>
      </c>
      <c r="G48" s="19" t="n">
        <v>63.9</v>
      </c>
      <c r="H48" s="20" t="n">
        <v>100.2</v>
      </c>
      <c r="I48" s="20" t="n">
        <v>132.1</v>
      </c>
      <c r="J48" s="20" t="n">
        <v>279.5</v>
      </c>
      <c r="K48" s="16" t="n">
        <v>38</v>
      </c>
      <c r="L48" s="17" t="n">
        <v>35</v>
      </c>
      <c r="M48" s="16" t="n">
        <v>95</v>
      </c>
      <c r="N48" s="25" t="n">
        <v>8.5</v>
      </c>
      <c r="O48" s="25" t="n">
        <v>3.85</v>
      </c>
      <c r="P48" s="25" t="n">
        <v>4.65</v>
      </c>
      <c r="Q48" s="18" t="n">
        <v>44.2</v>
      </c>
      <c r="R48" s="14" t="inlineStr">
        <is>
          <t>Onsite Rooftop + Open Access Solar</t>
        </is>
      </c>
      <c r="S48" s="14" t="inlineStr">
        <is>
          <t>50% RE by 2030</t>
        </is>
      </c>
    </row>
    <row r="49" ht="20" customHeight="1">
      <c r="A49" s="7" t="inlineStr">
        <is>
          <t>Biocon Ltd</t>
        </is>
      </c>
      <c r="B49" s="8" t="inlineStr">
        <is>
          <t>BIOCON</t>
        </is>
      </c>
      <c r="C49" s="8" t="inlineStr">
        <is>
          <t>Mid Cap</t>
        </is>
      </c>
      <c r="D49" s="8" t="inlineStr">
        <is>
          <t>Pharmaceuticals &amp; Healthcare</t>
        </is>
      </c>
      <c r="E49" s="12" t="n">
        <v>16.5</v>
      </c>
      <c r="F49" s="12" t="n">
        <v>9.4</v>
      </c>
      <c r="G49" s="12" t="n">
        <v>46</v>
      </c>
      <c r="H49" s="12" t="n">
        <v>36.6</v>
      </c>
      <c r="I49" s="12" t="n">
        <v>9.6</v>
      </c>
      <c r="J49" s="12" t="n">
        <v>-11.2</v>
      </c>
      <c r="K49" s="9" t="n">
        <v>22</v>
      </c>
      <c r="L49" s="10" t="n">
        <v>48</v>
      </c>
      <c r="M49" s="9" t="n">
        <v>58</v>
      </c>
      <c r="N49" s="24" t="n">
        <v>8.800000000000001</v>
      </c>
      <c r="O49" s="24" t="n">
        <v>3.8</v>
      </c>
      <c r="P49" s="24" t="n">
        <v>5</v>
      </c>
      <c r="Q49" s="11" t="n">
        <v>29</v>
      </c>
      <c r="R49" s="7" t="inlineStr">
        <is>
          <t>Open Access Solar with CleanMax</t>
        </is>
      </c>
      <c r="S49" s="7" t="inlineStr">
        <is>
          <t>70% RE by 2028</t>
        </is>
      </c>
    </row>
    <row r="50" ht="20" customHeight="1">
      <c r="A50" s="14" t="inlineStr">
        <is>
          <t>Tata Power Co Ltd</t>
        </is>
      </c>
      <c r="B50" s="15" t="inlineStr">
        <is>
          <t>TATAPOWER</t>
        </is>
      </c>
      <c r="C50" s="15" t="inlineStr">
        <is>
          <t>Mid Cap</t>
        </is>
      </c>
      <c r="D50" s="15" t="inlineStr">
        <is>
          <t>Power Utilities &amp; Cleantech</t>
        </is>
      </c>
      <c r="E50" s="19" t="n">
        <v>-5.3</v>
      </c>
      <c r="F50" s="19" t="n">
        <v>-23.7</v>
      </c>
      <c r="G50" s="19" t="n">
        <v>40.3</v>
      </c>
      <c r="H50" s="19" t="n">
        <v>70</v>
      </c>
      <c r="I50" s="20" t="n">
        <v>131.8</v>
      </c>
      <c r="J50" s="20" t="n">
        <v>590.4</v>
      </c>
      <c r="K50" s="16" t="n">
        <v>5500</v>
      </c>
      <c r="L50" s="17" t="n">
        <v>40</v>
      </c>
      <c r="M50" s="16" t="n">
        <v>7200</v>
      </c>
      <c r="N50" s="25" t="n">
        <v>7.8</v>
      </c>
      <c r="O50" s="25" t="n">
        <v>3.3</v>
      </c>
      <c r="P50" s="25" t="n">
        <v>4.5</v>
      </c>
      <c r="Q50" s="18" t="n">
        <v>3240</v>
      </c>
      <c r="R50" s="14" t="inlineStr">
        <is>
          <t>Utility RE + Group Captive Solar Developer</t>
        </is>
      </c>
      <c r="S50" s="14" t="inlineStr">
        <is>
          <t>100% Clean Energy by 2045</t>
        </is>
      </c>
    </row>
    <row r="51" ht="20" customHeight="1">
      <c r="A51" s="7" t="inlineStr">
        <is>
          <t>JSW Energy Ltd</t>
        </is>
      </c>
      <c r="B51" s="8" t="inlineStr">
        <is>
          <t>JSWENERGY</t>
        </is>
      </c>
      <c r="C51" s="8" t="inlineStr">
        <is>
          <t>Mid Cap</t>
        </is>
      </c>
      <c r="D51" s="8" t="inlineStr">
        <is>
          <t>Power Utilities &amp; Cleantech</t>
        </is>
      </c>
      <c r="E51" s="12" t="n">
        <v>1.7</v>
      </c>
      <c r="F51" s="12" t="n">
        <v>-26.4</v>
      </c>
      <c r="G51" s="12" t="n">
        <v>23.4</v>
      </c>
      <c r="H51" s="12" t="n">
        <v>79.7</v>
      </c>
      <c r="I51" s="12" t="n">
        <v>38.5</v>
      </c>
      <c r="J51" s="13" t="n">
        <v>857.2</v>
      </c>
      <c r="K51" s="9" t="n">
        <v>3200</v>
      </c>
      <c r="L51" s="10" t="n">
        <v>45</v>
      </c>
      <c r="M51" s="9" t="n">
        <v>4800</v>
      </c>
      <c r="N51" s="24" t="n">
        <v>7.7</v>
      </c>
      <c r="O51" s="24" t="n">
        <v>3.25</v>
      </c>
      <c r="P51" s="24" t="n">
        <v>4.45</v>
      </c>
      <c r="Q51" s="11" t="n">
        <v>2136</v>
      </c>
      <c r="R51" s="7" t="inlineStr">
        <is>
          <t>Solar, Wind &amp; Pumped Hydro Developer</t>
        </is>
      </c>
      <c r="S51" s="7" t="inlineStr">
        <is>
          <t>20 GW by 2030, 85% RE share</t>
        </is>
      </c>
    </row>
    <row r="52" ht="20" customHeight="1">
      <c r="A52" s="14" t="inlineStr">
        <is>
          <t>NTPC Ltd (Captive &amp; Green)</t>
        </is>
      </c>
      <c r="B52" s="15" t="inlineStr">
        <is>
          <t>NTPC</t>
        </is>
      </c>
      <c r="C52" s="15" t="inlineStr">
        <is>
          <t>Large Cap</t>
        </is>
      </c>
      <c r="D52" s="15" t="inlineStr">
        <is>
          <t>Power Utilities &amp; Cleantech</t>
        </is>
      </c>
      <c r="E52" s="19" t="n">
        <v>-2.3</v>
      </c>
      <c r="F52" s="19" t="n">
        <v>-25</v>
      </c>
      <c r="G52" s="19" t="n">
        <v>35.4</v>
      </c>
      <c r="H52" s="20" t="n">
        <v>108.3</v>
      </c>
      <c r="I52" s="20" t="n">
        <v>134.4</v>
      </c>
      <c r="J52" s="20" t="n">
        <v>290.7</v>
      </c>
      <c r="K52" s="16" t="n">
        <v>3500</v>
      </c>
      <c r="L52" s="17" t="n">
        <v>12</v>
      </c>
      <c r="M52" s="16" t="n">
        <v>4500</v>
      </c>
      <c r="N52" s="25" t="n">
        <v>6.5</v>
      </c>
      <c r="O52" s="25" t="n">
        <v>3.1</v>
      </c>
      <c r="P52" s="25" t="n">
        <v>3.4</v>
      </c>
      <c r="Q52" s="18" t="n">
        <v>1530</v>
      </c>
      <c r="R52" s="14" t="inlineStr">
        <is>
          <t>Utility Solar + Floating Solar at Reservoirs</t>
        </is>
      </c>
      <c r="S52" s="14" t="inlineStr">
        <is>
          <t>60 GW RE by 2032 (NTPC Green Energy)</t>
        </is>
      </c>
    </row>
    <row r="53" ht="20" customHeight="1">
      <c r="A53" s="7" t="inlineStr">
        <is>
          <t>Orient Green Power Co</t>
        </is>
      </c>
      <c r="B53" s="8" t="inlineStr">
        <is>
          <t>GREENPOWER</t>
        </is>
      </c>
      <c r="C53" s="8" t="inlineStr">
        <is>
          <t>Small Cap</t>
        </is>
      </c>
      <c r="D53" s="8" t="inlineStr">
        <is>
          <t>Power Utilities &amp; Cleantech</t>
        </is>
      </c>
      <c r="E53" s="12" t="n">
        <v>-28</v>
      </c>
      <c r="F53" s="12" t="n">
        <v>-54.9</v>
      </c>
      <c r="G53" s="12" t="n">
        <v>-28.6</v>
      </c>
      <c r="H53" s="12" t="n">
        <v>20.2</v>
      </c>
      <c r="I53" s="13" t="n">
        <v>223.7</v>
      </c>
      <c r="J53" s="13" t="n">
        <v>457.5</v>
      </c>
      <c r="K53" s="9" t="n">
        <v>402</v>
      </c>
      <c r="L53" s="10" t="n">
        <v>100</v>
      </c>
      <c r="M53" s="9" t="n">
        <v>620</v>
      </c>
      <c r="N53" s="24" t="n">
        <v>7.6</v>
      </c>
      <c r="O53" s="24" t="n">
        <v>3.3</v>
      </c>
      <c r="P53" s="24" t="n">
        <v>4.3</v>
      </c>
      <c r="Q53" s="11" t="n">
        <v>266.6</v>
      </c>
      <c r="R53" s="7" t="inlineStr">
        <is>
          <t>Independent Power Producer (IPP)</t>
        </is>
      </c>
      <c r="S53" s="7" t="inlineStr">
        <is>
          <t>1 GW green energy portfolio</t>
        </is>
      </c>
    </row>
    <row r="54" ht="20" customHeight="1">
      <c r="A54" s="14" t="inlineStr">
        <is>
          <t>KPI Green Energy Ltd</t>
        </is>
      </c>
      <c r="B54" s="15" t="inlineStr">
        <is>
          <t>KPIGREEN</t>
        </is>
      </c>
      <c r="C54" s="15" t="inlineStr">
        <is>
          <t>Small Cap</t>
        </is>
      </c>
      <c r="D54" s="15" t="inlineStr">
        <is>
          <t>Power Utilities &amp; Cleantech</t>
        </is>
      </c>
      <c r="E54" s="19" t="n">
        <v>-29.9</v>
      </c>
      <c r="F54" s="19" t="n">
        <v>-46.6</v>
      </c>
      <c r="G54" s="19" t="n">
        <v>68.2</v>
      </c>
      <c r="H54" s="20" t="n">
        <v>221</v>
      </c>
      <c r="I54" s="20" t="n">
        <v>2072.3</v>
      </c>
      <c r="J54" s="20" t="n">
        <v>1919.3</v>
      </c>
      <c r="K54" s="16" t="n">
        <v>165</v>
      </c>
      <c r="L54" s="17" t="n">
        <v>95</v>
      </c>
      <c r="M54" s="16" t="n">
        <v>280</v>
      </c>
      <c r="N54" s="25" t="n">
        <v>7.8</v>
      </c>
      <c r="O54" s="25" t="n">
        <v>3.1</v>
      </c>
      <c r="P54" s="25" t="n">
        <v>4.7</v>
      </c>
      <c r="Q54" s="18" t="n">
        <v>131.6</v>
      </c>
      <c r="R54" s="14" t="inlineStr">
        <is>
          <t>Developer of Solar Parks &amp; Group Captive</t>
        </is>
      </c>
      <c r="S54" s="14" t="inlineStr">
        <is>
          <t>Reach 2.5 GW green capacity by 2026</t>
        </is>
      </c>
    </row>
    <row r="55" ht="20" customHeight="1">
      <c r="A55" s="7" t="inlineStr">
        <is>
          <t>Suzlon Energy Ltd</t>
        </is>
      </c>
      <c r="B55" s="8" t="inlineStr">
        <is>
          <t>SUZLON</t>
        </is>
      </c>
      <c r="C55" s="8" t="inlineStr">
        <is>
          <t>Small Cap</t>
        </is>
      </c>
      <c r="D55" s="8" t="inlineStr">
        <is>
          <t>Power Utilities &amp; Cleantech</t>
        </is>
      </c>
      <c r="E55" s="12" t="n">
        <v>-17.6</v>
      </c>
      <c r="F55" s="12" t="n">
        <v>-43.3</v>
      </c>
      <c r="G55" s="12" t="n">
        <v>75.8</v>
      </c>
      <c r="H55" s="13" t="n">
        <v>467.7</v>
      </c>
      <c r="I55" s="13" t="n">
        <v>665.7</v>
      </c>
      <c r="J55" s="13" t="n">
        <v>1603.1</v>
      </c>
      <c r="K55" s="9" t="n">
        <v>120</v>
      </c>
      <c r="L55" s="10" t="n">
        <v>75</v>
      </c>
      <c r="M55" s="9" t="n">
        <v>210</v>
      </c>
      <c r="N55" s="24" t="n">
        <v>7.8</v>
      </c>
      <c r="O55" s="24" t="n">
        <v>3.2</v>
      </c>
      <c r="P55" s="24" t="n">
        <v>4.6</v>
      </c>
      <c r="Q55" s="11" t="n">
        <v>96.59999999999999</v>
      </c>
      <c r="R55" s="7" t="inlineStr">
        <is>
          <t>Wind OEM powering manufacturing green</t>
        </is>
      </c>
      <c r="S55" s="7" t="inlineStr">
        <is>
          <t>100% RE in own plants by 2028</t>
        </is>
      </c>
    </row>
    <row r="56" ht="20" customHeight="1">
      <c r="A56" s="14" t="inlineStr">
        <is>
          <t>Inox Wind Ltd</t>
        </is>
      </c>
      <c r="B56" s="15" t="inlineStr">
        <is>
          <t>INOXWIND</t>
        </is>
      </c>
      <c r="C56" s="15" t="inlineStr">
        <is>
          <t>Small Cap</t>
        </is>
      </c>
      <c r="D56" s="15" t="inlineStr">
        <is>
          <t>Power Utilities &amp; Cleantech</t>
        </is>
      </c>
      <c r="E56" s="19" t="n">
        <v>-46.9</v>
      </c>
      <c r="F56" s="19" t="n">
        <v>-68.7</v>
      </c>
      <c r="G56" s="19" t="n">
        <v>54.2</v>
      </c>
      <c r="H56" s="20" t="n">
        <v>101.6</v>
      </c>
      <c r="I56" s="20" t="n">
        <v>203.7</v>
      </c>
      <c r="J56" s="20" t="n">
        <v>663.1</v>
      </c>
      <c r="K56" s="16" t="n">
        <v>80</v>
      </c>
      <c r="L56" s="17" t="n">
        <v>70</v>
      </c>
      <c r="M56" s="16" t="n">
        <v>150</v>
      </c>
      <c r="N56" s="25" t="n">
        <v>7.9</v>
      </c>
      <c r="O56" s="25" t="n">
        <v>3.3</v>
      </c>
      <c r="P56" s="25" t="n">
        <v>4.6</v>
      </c>
      <c r="Q56" s="18" t="n">
        <v>69</v>
      </c>
      <c r="R56" s="14" t="inlineStr">
        <is>
          <t>Wind Turbine manufacturing + Hybrid plants</t>
        </is>
      </c>
      <c r="S56" s="14" t="inlineStr">
        <is>
          <t>Net Zero operations by 2030</t>
        </is>
      </c>
    </row>
    <row r="57" ht="20" customHeight="1">
      <c r="A57" s="7" t="inlineStr">
        <is>
          <t>Gensol Engineering Ltd</t>
        </is>
      </c>
      <c r="B57" s="8" t="inlineStr">
        <is>
          <t>GENSOL</t>
        </is>
      </c>
      <c r="C57" s="8" t="inlineStr">
        <is>
          <t>Small Cap</t>
        </is>
      </c>
      <c r="D57" s="8" t="inlineStr">
        <is>
          <t>Power Utilities &amp; Cleantech</t>
        </is>
      </c>
      <c r="E57" s="12" t="n">
        <v>-58.3</v>
      </c>
      <c r="F57" s="12" t="n">
        <v>-97.90000000000001</v>
      </c>
      <c r="G57" s="12" t="n">
        <v>-97.40000000000001</v>
      </c>
      <c r="H57" s="12" t="n">
        <v>-97.2</v>
      </c>
      <c r="I57" s="12" t="n">
        <v>-97.2</v>
      </c>
      <c r="J57" s="12" t="n">
        <v>-97.2</v>
      </c>
      <c r="K57" s="9" t="n">
        <v>85</v>
      </c>
      <c r="L57" s="10" t="n">
        <v>80</v>
      </c>
      <c r="M57" s="9" t="n">
        <v>140</v>
      </c>
      <c r="N57" s="24" t="n">
        <v>7.9</v>
      </c>
      <c r="O57" s="24" t="n">
        <v>3.2</v>
      </c>
      <c r="P57" s="24" t="n">
        <v>4.7</v>
      </c>
      <c r="Q57" s="11" t="n">
        <v>65.8</v>
      </c>
      <c r="R57" s="7" t="inlineStr">
        <is>
          <t>Solar EPC Developer &amp; Captive Assets</t>
        </is>
      </c>
      <c r="S57" s="7" t="inlineStr">
        <is>
          <t>1 GW renewable development portfolio</t>
        </is>
      </c>
    </row>
    <row r="58" ht="20" customHeight="1">
      <c r="A58" s="14" t="inlineStr">
        <is>
          <t>Waaree Energies Ltd</t>
        </is>
      </c>
      <c r="B58" s="15" t="inlineStr">
        <is>
          <t>WAAREE</t>
        </is>
      </c>
      <c r="C58" s="15" t="inlineStr">
        <is>
          <t>Small Cap</t>
        </is>
      </c>
      <c r="D58" s="15" t="inlineStr">
        <is>
          <t>Power Utilities &amp; Cleantech</t>
        </is>
      </c>
      <c r="E58" s="19" t="n">
        <v>12.5</v>
      </c>
      <c r="F58" s="19" t="n">
        <v>28</v>
      </c>
      <c r="G58" s="19" t="n">
        <v>45</v>
      </c>
      <c r="H58" s="19" t="n">
        <v>65</v>
      </c>
      <c r="I58" s="19" t="n">
        <v>95</v>
      </c>
      <c r="J58" s="20" t="n">
        <v>130</v>
      </c>
      <c r="K58" s="16" t="n">
        <v>55</v>
      </c>
      <c r="L58" s="17" t="n">
        <v>70</v>
      </c>
      <c r="M58" s="16" t="n">
        <v>110</v>
      </c>
      <c r="N58" s="25" t="n">
        <v>8</v>
      </c>
      <c r="O58" s="25" t="n">
        <v>3.2</v>
      </c>
      <c r="P58" s="25" t="n">
        <v>4.8</v>
      </c>
      <c r="Q58" s="18" t="n">
        <v>52.8</v>
      </c>
      <c r="R58" s="14" t="inlineStr">
        <is>
          <t>Captive Solar PV for module gigafactories</t>
        </is>
      </c>
      <c r="S58" s="14" t="inlineStr">
        <is>
          <t>100% Green Manufacturing by 2028</t>
        </is>
      </c>
    </row>
    <row r="59" ht="20" customHeight="1">
      <c r="A59" s="7" t="inlineStr">
        <is>
          <t>Sterling &amp; Wilson RE Ltd</t>
        </is>
      </c>
      <c r="B59" s="8" t="inlineStr">
        <is>
          <t>SWSOLAR</t>
        </is>
      </c>
      <c r="C59" s="8" t="inlineStr">
        <is>
          <t>Small Cap</t>
        </is>
      </c>
      <c r="D59" s="8" t="inlineStr">
        <is>
          <t>Power Utilities &amp; Cleantech</t>
        </is>
      </c>
      <c r="E59" s="12" t="n">
        <v>-22.7</v>
      </c>
      <c r="F59" s="12" t="n">
        <v>-69.59999999999999</v>
      </c>
      <c r="G59" s="12" t="n">
        <v>-48.1</v>
      </c>
      <c r="H59" s="12" t="n">
        <v>-39.6</v>
      </c>
      <c r="I59" s="12" t="n">
        <v>-53.2</v>
      </c>
      <c r="J59" s="12" t="n">
        <v>-17.1</v>
      </c>
      <c r="K59" s="9" t="n">
        <v>25</v>
      </c>
      <c r="L59" s="10" t="n">
        <v>65</v>
      </c>
      <c r="M59" s="9" t="n">
        <v>45</v>
      </c>
      <c r="N59" s="24" t="n">
        <v>8.5</v>
      </c>
      <c r="O59" s="24" t="n">
        <v>3.5</v>
      </c>
      <c r="P59" s="24" t="n">
        <v>5</v>
      </c>
      <c r="Q59" s="11" t="n">
        <v>22.5</v>
      </c>
      <c r="R59" s="7" t="inlineStr">
        <is>
          <t>EPC &amp; captive solar solutions</t>
        </is>
      </c>
      <c r="S59" s="7" t="inlineStr">
        <is>
          <t>Global leader in utility solar EPC</t>
        </is>
      </c>
    </row>
    <row r="60" ht="20" customHeight="1">
      <c r="A60" s="14" t="inlineStr">
        <is>
          <t>Borosil Renewables Ltd</t>
        </is>
      </c>
      <c r="B60" s="15" t="inlineStr">
        <is>
          <t>BORORENEW</t>
        </is>
      </c>
      <c r="C60" s="15" t="inlineStr">
        <is>
          <t>Small Cap</t>
        </is>
      </c>
      <c r="D60" s="15" t="inlineStr">
        <is>
          <t>Power Utilities &amp; Cleantech</t>
        </is>
      </c>
      <c r="E60" s="19" t="n">
        <v>-12.9</v>
      </c>
      <c r="F60" s="19" t="n">
        <v>1.5</v>
      </c>
      <c r="G60" s="19" t="n">
        <v>16.4</v>
      </c>
      <c r="H60" s="19" t="n">
        <v>-14.3</v>
      </c>
      <c r="I60" s="19" t="n">
        <v>61.8</v>
      </c>
      <c r="J60" s="20" t="n">
        <v>584.2</v>
      </c>
      <c r="K60" s="16" t="n">
        <v>10</v>
      </c>
      <c r="L60" s="17" t="n">
        <v>30</v>
      </c>
      <c r="M60" s="16" t="n">
        <v>24</v>
      </c>
      <c r="N60" s="25" t="n">
        <v>8.199999999999999</v>
      </c>
      <c r="O60" s="25" t="n">
        <v>3.6</v>
      </c>
      <c r="P60" s="25" t="n">
        <v>4.6</v>
      </c>
      <c r="Q60" s="18" t="n">
        <v>11</v>
      </c>
      <c r="R60" s="14" t="inlineStr">
        <is>
          <t>Captive Solar PV + Solar Glass production</t>
        </is>
      </c>
      <c r="S60" s="14" t="inlineStr">
        <is>
          <t>50% RE by 2030</t>
        </is>
      </c>
    </row>
    <row r="61" ht="20" customHeight="1">
      <c r="A61" s="7" t="inlineStr">
        <is>
          <t>Bharti Airtel Ltd (Nxtra)</t>
        </is>
      </c>
      <c r="B61" s="8" t="inlineStr">
        <is>
          <t>BHARTIARTL</t>
        </is>
      </c>
      <c r="C61" s="8" t="inlineStr">
        <is>
          <t>Large Cap</t>
        </is>
      </c>
      <c r="D61" s="8" t="inlineStr">
        <is>
          <t>Telecom &amp; Data Centers</t>
        </is>
      </c>
      <c r="E61" s="12" t="n">
        <v>-2</v>
      </c>
      <c r="F61" s="12" t="n">
        <v>7.6</v>
      </c>
      <c r="G61" s="12" t="n">
        <v>98.59999999999999</v>
      </c>
      <c r="H61" s="13" t="n">
        <v>130</v>
      </c>
      <c r="I61" s="13" t="n">
        <v>167.3</v>
      </c>
      <c r="J61" s="13" t="n">
        <v>345.3</v>
      </c>
      <c r="K61" s="9" t="n">
        <v>120</v>
      </c>
      <c r="L61" s="10" t="n">
        <v>49</v>
      </c>
      <c r="M61" s="9" t="n">
        <v>483</v>
      </c>
      <c r="N61" s="24" t="n">
        <v>9.5</v>
      </c>
      <c r="O61" s="24" t="n">
        <v>4.2</v>
      </c>
      <c r="P61" s="24" t="n">
        <v>5.3</v>
      </c>
      <c r="Q61" s="11" t="n">
        <v>256</v>
      </c>
      <c r="R61" s="7" t="inlineStr">
        <is>
          <t>Open Access Solar/Wind + Distributed Rooftop</t>
        </is>
      </c>
      <c r="S61" s="7" t="inlineStr">
        <is>
          <t>RE100 (100% RE in Nxtra Data Centers by 2030)</t>
        </is>
      </c>
    </row>
    <row r="62" ht="20" customHeight="1">
      <c r="A62" s="14" t="inlineStr">
        <is>
          <t>KPR Mill Ltd</t>
        </is>
      </c>
      <c r="B62" s="15" t="inlineStr">
        <is>
          <t>KPRMILL</t>
        </is>
      </c>
      <c r="C62" s="15" t="inlineStr">
        <is>
          <t>Small Cap</t>
        </is>
      </c>
      <c r="D62" s="15" t="inlineStr">
        <is>
          <t>Textiles &amp; Apparel</t>
        </is>
      </c>
      <c r="E62" s="19" t="n">
        <v>11.2</v>
      </c>
      <c r="F62" s="19" t="n">
        <v>24.1</v>
      </c>
      <c r="G62" s="19" t="n">
        <v>57.2</v>
      </c>
      <c r="H62" s="20" t="n">
        <v>120.9</v>
      </c>
      <c r="I62" s="20" t="n">
        <v>178.4</v>
      </c>
      <c r="J62" s="20" t="n">
        <v>810.6</v>
      </c>
      <c r="K62" s="16" t="n">
        <v>191.9</v>
      </c>
      <c r="L62" s="17" t="n">
        <v>100</v>
      </c>
      <c r="M62" s="16" t="n">
        <v>450</v>
      </c>
      <c r="N62" s="25" t="n">
        <v>8.199999999999999</v>
      </c>
      <c r="O62" s="25" t="n">
        <v>3.4</v>
      </c>
      <c r="P62" s="25" t="n">
        <v>4.8</v>
      </c>
      <c r="Q62" s="18" t="n">
        <v>216</v>
      </c>
      <c r="R62" s="14" t="inlineStr">
        <is>
          <t>Captive Wind &amp; Solar Parks (100% self-reliant)</t>
        </is>
      </c>
      <c r="S62" s="14" t="inlineStr">
        <is>
          <t>100% RE achieved in FY26</t>
        </is>
      </c>
    </row>
    <row r="63" ht="20" customHeight="1">
      <c r="A63" s="7" t="inlineStr">
        <is>
          <t>Welspun Living Ltd</t>
        </is>
      </c>
      <c r="B63" s="8" t="inlineStr">
        <is>
          <t>WELSPUNLIV</t>
        </is>
      </c>
      <c r="C63" s="8" t="inlineStr">
        <is>
          <t>Small Cap</t>
        </is>
      </c>
      <c r="D63" s="8" t="inlineStr">
        <is>
          <t>Textiles &amp; Apparel</t>
        </is>
      </c>
      <c r="E63" s="12" t="n">
        <v>82.2</v>
      </c>
      <c r="F63" s="12" t="n">
        <v>27.7</v>
      </c>
      <c r="G63" s="12" t="n">
        <v>72.09999999999999</v>
      </c>
      <c r="H63" s="13" t="n">
        <v>183.8</v>
      </c>
      <c r="I63" s="12" t="n">
        <v>23.4</v>
      </c>
      <c r="J63" s="13" t="n">
        <v>211.9</v>
      </c>
      <c r="K63" s="9" t="n">
        <v>35</v>
      </c>
      <c r="L63" s="10" t="n">
        <v>48</v>
      </c>
      <c r="M63" s="9" t="n">
        <v>85</v>
      </c>
      <c r="N63" s="24" t="n">
        <v>8.1</v>
      </c>
      <c r="O63" s="24" t="n">
        <v>3.6</v>
      </c>
      <c r="P63" s="24" t="n">
        <v>4.5</v>
      </c>
      <c r="Q63" s="11" t="n">
        <v>38.3</v>
      </c>
      <c r="R63" s="7" t="inlineStr">
        <is>
          <t>Rooftop Solar on mega textile parks</t>
        </is>
      </c>
      <c r="S63" s="7" t="inlineStr">
        <is>
          <t>100% RE by 2030 (RE100 member)</t>
        </is>
      </c>
    </row>
    <row r="64" ht="20" customHeight="1">
      <c r="A64" s="14" t="inlineStr">
        <is>
          <t>Arvind Ltd</t>
        </is>
      </c>
      <c r="B64" s="15" t="inlineStr">
        <is>
          <t>ARVIND</t>
        </is>
      </c>
      <c r="C64" s="15" t="inlineStr">
        <is>
          <t>Small Cap</t>
        </is>
      </c>
      <c r="D64" s="15" t="inlineStr">
        <is>
          <t>Textiles &amp; Apparel</t>
        </is>
      </c>
      <c r="E64" s="19" t="n">
        <v>82</v>
      </c>
      <c r="F64" s="19" t="n">
        <v>49.1</v>
      </c>
      <c r="G64" s="20" t="n">
        <v>218.6</v>
      </c>
      <c r="H64" s="20" t="n">
        <v>480.3</v>
      </c>
      <c r="I64" s="20" t="n">
        <v>485.5</v>
      </c>
      <c r="J64" s="20" t="n">
        <v>1531.3</v>
      </c>
      <c r="K64" s="16" t="n">
        <v>28</v>
      </c>
      <c r="L64" s="17" t="n">
        <v>38</v>
      </c>
      <c r="M64" s="16" t="n">
        <v>62</v>
      </c>
      <c r="N64" s="25" t="n">
        <v>8.199999999999999</v>
      </c>
      <c r="O64" s="25" t="n">
        <v>3.65</v>
      </c>
      <c r="P64" s="25" t="n">
        <v>4.55</v>
      </c>
      <c r="Q64" s="18" t="n">
        <v>28.2</v>
      </c>
      <c r="R64" s="14" t="inlineStr">
        <is>
          <t>Largest rooftop solar installations in textiles</t>
        </is>
      </c>
      <c r="S64" s="14" t="inlineStr">
        <is>
          <t>50% RE by 2028</t>
        </is>
      </c>
    </row>
    <row r="65" ht="24" customHeight="1">
      <c r="A65" s="26" t="inlineStr">
        <is>
          <t>TOTAL / WEIGHTED AVERAGE</t>
        </is>
      </c>
      <c r="B65" s="27" t="n"/>
      <c r="C65" s="27" t="n"/>
      <c r="D65" s="27" t="n"/>
      <c r="E65" s="28">
        <f>AVERAGE(E5:E64)</f>
        <v/>
      </c>
      <c r="F65" s="28">
        <f>AVERAGE(F5:F64)</f>
        <v/>
      </c>
      <c r="G65" s="28">
        <f>AVERAGE(G5:G64)</f>
        <v/>
      </c>
      <c r="H65" s="28">
        <f>AVERAGE(H5:H64)</f>
        <v/>
      </c>
      <c r="I65" s="28">
        <f>AVERAGE(I5:I64)</f>
        <v/>
      </c>
      <c r="J65" s="28">
        <f>AVERAGE(J5:J64)</f>
        <v/>
      </c>
      <c r="K65" s="29">
        <f>SUM(K5:K64)</f>
        <v/>
      </c>
      <c r="L65" s="30">
        <f>AVERAGE(L5:L64)</f>
        <v/>
      </c>
      <c r="M65" s="29">
        <f>SUM(M5:M64)</f>
        <v/>
      </c>
      <c r="N65" s="31">
        <f>AVERAGE(N5:N64)</f>
        <v/>
      </c>
      <c r="O65" s="31">
        <f>AVERAGE(O5:O64)</f>
        <v/>
      </c>
      <c r="P65" s="31">
        <f>AVERAGE(P5:P64)</f>
        <v/>
      </c>
      <c r="Q65" s="32">
        <f>SUM(Q5:Q64)</f>
        <v/>
      </c>
      <c r="R65" s="27" t="n"/>
      <c r="S6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3" t="inlineStr">
        <is>
          <t>India Listed Large-Cap Companies: Renewables &amp; 1-6 Year Returns</t>
        </is>
      </c>
    </row>
    <row r="2" ht="20" customHeight="1">
      <c r="A2" s="34" t="inlineStr">
        <is>
          <t>SEBI Top 100 Listed Corporates | 1Y to 6Y Stock Returns, Captive Green Capacity &amp; Energy Shield</t>
        </is>
      </c>
    </row>
    <row r="3" ht="8" customHeight="1"/>
    <row r="4" ht="28" customHeight="1">
      <c r="A4" s="35" t="inlineStr">
        <is>
          <t>Company Name</t>
        </is>
      </c>
      <c r="B4" s="35" t="inlineStr">
        <is>
          <t>Ticker</t>
        </is>
      </c>
      <c r="C4" s="35" t="inlineStr">
        <is>
          <t>Cap Tier</t>
        </is>
      </c>
      <c r="D4" s="35" t="inlineStr">
        <is>
          <t>Sector</t>
        </is>
      </c>
      <c r="E4" s="35" t="inlineStr">
        <is>
          <t>1Y Ret (%)</t>
        </is>
      </c>
      <c r="F4" s="35" t="inlineStr">
        <is>
          <t>2Y Ret (%)</t>
        </is>
      </c>
      <c r="G4" s="35" t="inlineStr">
        <is>
          <t>3Y Ret (%)</t>
        </is>
      </c>
      <c r="H4" s="35" t="inlineStr">
        <is>
          <t>4Y Ret (%)</t>
        </is>
      </c>
      <c r="I4" s="35" t="inlineStr">
        <is>
          <t>5Y Ret (%)</t>
        </is>
      </c>
      <c r="J4" s="35" t="inlineStr">
        <is>
          <t>6Y Ret (%)</t>
        </is>
      </c>
      <c r="K4" s="35" t="inlineStr">
        <is>
          <t>RE Installed (MW)</t>
        </is>
      </c>
      <c r="L4" s="35" t="inlineStr">
        <is>
          <t>RE Power Share (%)</t>
        </is>
      </c>
      <c r="M4" s="35" t="inlineStr">
        <is>
          <t>Annual Green Units (MU)</t>
        </is>
      </c>
      <c r="N4" s="35" t="inlineStr">
        <is>
          <t>Grid Tariff (₹/kWh)</t>
        </is>
      </c>
      <c r="O4" s="35" t="inlineStr">
        <is>
          <t>Solar Cost (₹/kWh)</t>
        </is>
      </c>
      <c r="P4" s="35" t="inlineStr">
        <is>
          <t>Unit Shield (₹/kWh)</t>
        </is>
      </c>
      <c r="Q4" s="35" t="inlineStr">
        <is>
          <t>Annual Cost Shielded (₹ Cr)</t>
        </is>
      </c>
      <c r="R4" s="35" t="inlineStr">
        <is>
          <t>Primary RE Model</t>
        </is>
      </c>
      <c r="S4" s="35" t="inlineStr">
        <is>
          <t>Targets &amp; Commitments</t>
        </is>
      </c>
    </row>
    <row r="5" ht="20" customHeight="1">
      <c r="A5" s="7" t="inlineStr">
        <is>
          <t>UltraTech Cement Ltd</t>
        </is>
      </c>
      <c r="B5" s="8" t="inlineStr">
        <is>
          <t>ULTRACEMCO</t>
        </is>
      </c>
      <c r="C5" s="8" t="inlineStr">
        <is>
          <t>Large Cap</t>
        </is>
      </c>
      <c r="D5" s="8" t="inlineStr">
        <is>
          <t>Cement &amp; Building Materials</t>
        </is>
      </c>
      <c r="E5" s="12" t="n">
        <v>-6.7</v>
      </c>
      <c r="F5" s="12" t="n">
        <v>-3.3</v>
      </c>
      <c r="G5" s="12" t="n">
        <v>38.2</v>
      </c>
      <c r="H5" s="12" t="n">
        <v>82.40000000000001</v>
      </c>
      <c r="I5" s="12" t="n">
        <v>54.2</v>
      </c>
      <c r="J5" s="13" t="n">
        <v>181.7</v>
      </c>
      <c r="K5" s="9" t="n">
        <v>1363</v>
      </c>
      <c r="L5" s="10" t="n">
        <v>32</v>
      </c>
      <c r="M5" s="9" t="n">
        <v>3600</v>
      </c>
      <c r="N5" s="24" t="n">
        <v>8.199999999999999</v>
      </c>
      <c r="O5" s="24" t="n">
        <v>3.8</v>
      </c>
      <c r="P5" s="24" t="n">
        <v>4.4</v>
      </c>
      <c r="Q5" s="11" t="n">
        <v>1584</v>
      </c>
      <c r="R5" s="7" t="inlineStr">
        <is>
          <t>Group Captive Solar/Wind + WHRS</t>
        </is>
      </c>
      <c r="S5" s="7" t="inlineStr">
        <is>
          <t>85% Green by 2030, RE100 (100% by 2050)</t>
        </is>
      </c>
    </row>
    <row r="6" ht="20" customHeight="1">
      <c r="A6" s="14" t="inlineStr">
        <is>
          <t>Reliance Industries Ltd</t>
        </is>
      </c>
      <c r="B6" s="15" t="inlineStr">
        <is>
          <t>RELIANCE</t>
        </is>
      </c>
      <c r="C6" s="15" t="inlineStr">
        <is>
          <t>Large Cap</t>
        </is>
      </c>
      <c r="D6" s="15" t="inlineStr">
        <is>
          <t>Conglomerates &amp; Diversified</t>
        </is>
      </c>
      <c r="E6" s="19" t="n">
        <v>-3.1</v>
      </c>
      <c r="F6" s="19" t="n">
        <v>-10.5</v>
      </c>
      <c r="G6" s="19" t="n">
        <v>12.8</v>
      </c>
      <c r="H6" s="19" t="n">
        <v>20.5</v>
      </c>
      <c r="I6" s="19" t="n">
        <v>13.7</v>
      </c>
      <c r="J6" s="19" t="n">
        <v>28.2</v>
      </c>
      <c r="K6" s="16" t="n">
        <v>247</v>
      </c>
      <c r="L6" s="17" t="n">
        <v>10</v>
      </c>
      <c r="M6" s="16" t="n">
        <v>1200</v>
      </c>
      <c r="N6" s="25" t="n">
        <v>7.8</v>
      </c>
      <c r="O6" s="25" t="n">
        <v>3.4</v>
      </c>
      <c r="P6" s="25" t="n">
        <v>4.4</v>
      </c>
      <c r="Q6" s="18" t="n">
        <v>528</v>
      </c>
      <c r="R6" s="14" t="inlineStr">
        <is>
          <t>Captive Mega-Hubs + 28k Tower Solar</t>
        </is>
      </c>
      <c r="S6" s="14" t="inlineStr">
        <is>
          <t>100 GW RE by 2030, Net Zero 2035</t>
        </is>
      </c>
    </row>
    <row r="7" ht="20" customHeight="1">
      <c r="A7" s="7" t="inlineStr">
        <is>
          <t>Tata Steel Ltd</t>
        </is>
      </c>
      <c r="B7" s="8" t="inlineStr">
        <is>
          <t>TATASTEEL</t>
        </is>
      </c>
      <c r="C7" s="8" t="inlineStr">
        <is>
          <t>Large Cap</t>
        </is>
      </c>
      <c r="D7" s="8" t="inlineStr">
        <is>
          <t>Metals &amp; Mining</t>
        </is>
      </c>
      <c r="E7" s="12" t="n">
        <v>11.9</v>
      </c>
      <c r="F7" s="12" t="n">
        <v>12</v>
      </c>
      <c r="G7" s="12" t="n">
        <v>46.5</v>
      </c>
      <c r="H7" s="12" t="n">
        <v>90.09999999999999</v>
      </c>
      <c r="I7" s="12" t="n">
        <v>46.5</v>
      </c>
      <c r="J7" s="13" t="n">
        <v>424.8</v>
      </c>
      <c r="K7" s="9" t="n">
        <v>1036</v>
      </c>
      <c r="L7" s="10" t="n">
        <v>16</v>
      </c>
      <c r="M7" s="9" t="n">
        <v>2100</v>
      </c>
      <c r="N7" s="24" t="n">
        <v>8</v>
      </c>
      <c r="O7" s="24" t="n">
        <v>3.9</v>
      </c>
      <c r="P7" s="24" t="n">
        <v>4.1</v>
      </c>
      <c r="Q7" s="11" t="n">
        <v>861</v>
      </c>
      <c r="R7" s="7" t="inlineStr">
        <is>
          <t>Group Captive PPA with TPREL</t>
        </is>
      </c>
      <c r="S7" s="7" t="inlineStr">
        <is>
          <t>50% Green by 2030, Net Zero 2045</t>
        </is>
      </c>
    </row>
    <row r="8" ht="20" customHeight="1">
      <c r="A8" s="14" t="inlineStr">
        <is>
          <t>JSW Steel Ltd</t>
        </is>
      </c>
      <c r="B8" s="15" t="inlineStr">
        <is>
          <t>JSWSTEEL</t>
        </is>
      </c>
      <c r="C8" s="15" t="inlineStr">
        <is>
          <t>Large Cap</t>
        </is>
      </c>
      <c r="D8" s="15" t="inlineStr">
        <is>
          <t>Metals &amp; Mining</t>
        </is>
      </c>
      <c r="E8" s="19" t="n">
        <v>16</v>
      </c>
      <c r="F8" s="19" t="n">
        <v>28.6</v>
      </c>
      <c r="G8" s="19" t="n">
        <v>70</v>
      </c>
      <c r="H8" s="20" t="n">
        <v>109.8</v>
      </c>
      <c r="I8" s="19" t="n">
        <v>98.3</v>
      </c>
      <c r="J8" s="20" t="n">
        <v>377</v>
      </c>
      <c r="K8" s="16" t="n">
        <v>782</v>
      </c>
      <c r="L8" s="17" t="n">
        <v>14</v>
      </c>
      <c r="M8" s="16" t="n">
        <v>1750</v>
      </c>
      <c r="N8" s="25" t="n">
        <v>7.9</v>
      </c>
      <c r="O8" s="25" t="n">
        <v>3.85</v>
      </c>
      <c r="P8" s="25" t="n">
        <v>4.05</v>
      </c>
      <c r="Q8" s="18" t="n">
        <v>708.8</v>
      </c>
      <c r="R8" s="14" t="inlineStr">
        <is>
          <t>Group Captive PPA with JSW Energy</t>
        </is>
      </c>
      <c r="S8" s="14" t="inlineStr">
        <is>
          <t>1,000 MW Phase 1 + 1,500 MW Ph 2, Net Zero 2050</t>
        </is>
      </c>
    </row>
    <row r="9" ht="20" customHeight="1">
      <c r="A9" s="7" t="inlineStr">
        <is>
          <t>Infosys Ltd</t>
        </is>
      </c>
      <c r="B9" s="8" t="inlineStr">
        <is>
          <t>INFY</t>
        </is>
      </c>
      <c r="C9" s="8" t="inlineStr">
        <is>
          <t>Large Cap</t>
        </is>
      </c>
      <c r="D9" s="8" t="inlineStr">
        <is>
          <t>IT &amp; Software Services</t>
        </is>
      </c>
      <c r="E9" s="12" t="n">
        <v>-21.6</v>
      </c>
      <c r="F9" s="12" t="n">
        <v>-39.8</v>
      </c>
      <c r="G9" s="12" t="n">
        <v>-21.3</v>
      </c>
      <c r="H9" s="12" t="n">
        <v>-20.1</v>
      </c>
      <c r="I9" s="12" t="n">
        <v>-32.5</v>
      </c>
      <c r="J9" s="12" t="n">
        <v>12.1</v>
      </c>
      <c r="K9" s="9" t="n">
        <v>60</v>
      </c>
      <c r="L9" s="10" t="n">
        <v>77.7</v>
      </c>
      <c r="M9" s="9" t="n">
        <v>285</v>
      </c>
      <c r="N9" s="24" t="n">
        <v>9.199999999999999</v>
      </c>
      <c r="O9" s="24" t="n">
        <v>3.5</v>
      </c>
      <c r="P9" s="24" t="n">
        <v>5.7</v>
      </c>
      <c r="Q9" s="11" t="n">
        <v>162.5</v>
      </c>
      <c r="R9" s="7" t="inlineStr">
        <is>
          <t>Campus Rooftop PV + Green Tariffs</t>
        </is>
      </c>
      <c r="S9" s="7" t="inlineStr">
        <is>
          <t>RE100 Signatory, 100% RE electricity target</t>
        </is>
      </c>
    </row>
    <row r="10" ht="20" customHeight="1">
      <c r="A10" s="14" t="inlineStr">
        <is>
          <t>Bharti Airtel Ltd (Nxtra)</t>
        </is>
      </c>
      <c r="B10" s="15" t="inlineStr">
        <is>
          <t>BHARTIARTL</t>
        </is>
      </c>
      <c r="C10" s="15" t="inlineStr">
        <is>
          <t>Large Cap</t>
        </is>
      </c>
      <c r="D10" s="15" t="inlineStr">
        <is>
          <t>Telecom &amp; Data Centers</t>
        </is>
      </c>
      <c r="E10" s="19" t="n">
        <v>-2</v>
      </c>
      <c r="F10" s="19" t="n">
        <v>7.6</v>
      </c>
      <c r="G10" s="19" t="n">
        <v>98.59999999999999</v>
      </c>
      <c r="H10" s="20" t="n">
        <v>130</v>
      </c>
      <c r="I10" s="20" t="n">
        <v>167.3</v>
      </c>
      <c r="J10" s="20" t="n">
        <v>345.3</v>
      </c>
      <c r="K10" s="16" t="n">
        <v>120</v>
      </c>
      <c r="L10" s="17" t="n">
        <v>49</v>
      </c>
      <c r="M10" s="16" t="n">
        <v>483</v>
      </c>
      <c r="N10" s="25" t="n">
        <v>9.5</v>
      </c>
      <c r="O10" s="25" t="n">
        <v>4.2</v>
      </c>
      <c r="P10" s="25" t="n">
        <v>5.3</v>
      </c>
      <c r="Q10" s="18" t="n">
        <v>256</v>
      </c>
      <c r="R10" s="14" t="inlineStr">
        <is>
          <t>Open Access Solar/Wind + Distributed Rooftop</t>
        </is>
      </c>
      <c r="S10" s="14" t="inlineStr">
        <is>
          <t>RE100 (100% RE in Nxtra Data Centers by 2030)</t>
        </is>
      </c>
    </row>
    <row r="11" ht="20" customHeight="1">
      <c r="A11" s="7" t="inlineStr">
        <is>
          <t>ITC Limited</t>
        </is>
      </c>
      <c r="B11" s="8" t="inlineStr">
        <is>
          <t>ITC</t>
        </is>
      </c>
      <c r="C11" s="8" t="inlineStr">
        <is>
          <t>Large Cap</t>
        </is>
      </c>
      <c r="D11" s="8" t="inlineStr">
        <is>
          <t>FMCG &amp; Consumer Goods</t>
        </is>
      </c>
      <c r="E11" s="12" t="n">
        <v>-34.2</v>
      </c>
      <c r="F11" s="12" t="n">
        <v>-47.1</v>
      </c>
      <c r="G11" s="12" t="n">
        <v>-38.3</v>
      </c>
      <c r="H11" s="12" t="n">
        <v>-17.4</v>
      </c>
      <c r="I11" s="12" t="n">
        <v>16.1</v>
      </c>
      <c r="J11" s="12" t="n">
        <v>59.7</v>
      </c>
      <c r="K11" s="9" t="n">
        <v>195</v>
      </c>
      <c r="L11" s="10" t="n">
        <v>52</v>
      </c>
      <c r="M11" s="9" t="n">
        <v>420</v>
      </c>
      <c r="N11" s="24" t="n">
        <v>8.5</v>
      </c>
      <c r="O11" s="24" t="n">
        <v>3.75</v>
      </c>
      <c r="P11" s="24" t="n">
        <v>4.75</v>
      </c>
      <c r="Q11" s="11" t="n">
        <v>199.5</v>
      </c>
      <c r="R11" s="7" t="inlineStr">
        <is>
          <t>Offsite Solar/Wind + Biomass boilers</t>
        </is>
      </c>
      <c r="S11" s="7" t="inlineStr">
        <is>
          <t>&gt;50% RE maintained; Sustainability 2.0</t>
        </is>
      </c>
    </row>
    <row r="12" ht="20" customHeight="1">
      <c r="A12" s="14" t="inlineStr">
        <is>
          <t>Hindalco Industries Ltd</t>
        </is>
      </c>
      <c r="B12" s="15" t="inlineStr">
        <is>
          <t>HINDALCO</t>
        </is>
      </c>
      <c r="C12" s="15" t="inlineStr">
        <is>
          <t>Large Cap</t>
        </is>
      </c>
      <c r="D12" s="15" t="inlineStr">
        <is>
          <t>Metals &amp; Mining</t>
        </is>
      </c>
      <c r="E12" s="19" t="n">
        <v>32.7</v>
      </c>
      <c r="F12" s="19" t="n">
        <v>33.7</v>
      </c>
      <c r="G12" s="20" t="n">
        <v>105.2</v>
      </c>
      <c r="H12" s="20" t="n">
        <v>158.9</v>
      </c>
      <c r="I12" s="20" t="n">
        <v>107.2</v>
      </c>
      <c r="J12" s="20" t="n">
        <v>476.9</v>
      </c>
      <c r="K12" s="16" t="n">
        <v>190</v>
      </c>
      <c r="L12" s="17" t="n">
        <v>8</v>
      </c>
      <c r="M12" s="16" t="n">
        <v>650</v>
      </c>
      <c r="N12" s="25" t="n">
        <v>7.5</v>
      </c>
      <c r="O12" s="25" t="n">
        <v>3.8</v>
      </c>
      <c r="P12" s="25" t="n">
        <v>3.7</v>
      </c>
      <c r="Q12" s="18" t="n">
        <v>240.5</v>
      </c>
      <c r="R12" s="14" t="inlineStr">
        <is>
          <t>RTC RE PPA with Greenko (Pumped Hydro)</t>
        </is>
      </c>
      <c r="S12" s="14" t="inlineStr">
        <is>
          <t>350 MW RTC RE for smelters, Net Zero 2050</t>
        </is>
      </c>
    </row>
    <row r="13" ht="20" customHeight="1">
      <c r="A13" s="7" t="inlineStr">
        <is>
          <t>Tata Motors Ltd</t>
        </is>
      </c>
      <c r="B13" s="8" t="inlineStr">
        <is>
          <t>TATAMOTORS</t>
        </is>
      </c>
      <c r="C13" s="8" t="inlineStr">
        <is>
          <t>Large Cap</t>
        </is>
      </c>
      <c r="D13" s="8" t="inlineStr">
        <is>
          <t>Automotive &amp; Ancillary</t>
        </is>
      </c>
      <c r="E13" s="12" t="n">
        <v>12.5</v>
      </c>
      <c r="F13" s="12" t="n">
        <v>28</v>
      </c>
      <c r="G13" s="12" t="n">
        <v>45</v>
      </c>
      <c r="H13" s="12" t="n">
        <v>65</v>
      </c>
      <c r="I13" s="12" t="n">
        <v>95</v>
      </c>
      <c r="J13" s="13" t="n">
        <v>130</v>
      </c>
      <c r="K13" s="9" t="n">
        <v>152</v>
      </c>
      <c r="L13" s="10" t="n">
        <v>51</v>
      </c>
      <c r="M13" s="9" t="n">
        <v>220</v>
      </c>
      <c r="N13" s="24" t="n">
        <v>8.800000000000001</v>
      </c>
      <c r="O13" s="24" t="n">
        <v>3.8</v>
      </c>
      <c r="P13" s="24" t="n">
        <v>5</v>
      </c>
      <c r="Q13" s="11" t="n">
        <v>110</v>
      </c>
      <c r="R13" s="7" t="inlineStr">
        <is>
          <t>Rooftop Solar on Pune/Sanand + TPREL Hybrid</t>
        </is>
      </c>
      <c r="S13" s="7" t="inlineStr">
        <is>
          <t>100% RE in manufacturing by 2030</t>
        </is>
      </c>
    </row>
    <row r="14" ht="20" customHeight="1">
      <c r="A14" s="14" t="inlineStr">
        <is>
          <t>Larsen &amp; Toubro Ltd</t>
        </is>
      </c>
      <c r="B14" s="15" t="inlineStr">
        <is>
          <t>LT</t>
        </is>
      </c>
      <c r="C14" s="15" t="inlineStr">
        <is>
          <t>Large Cap</t>
        </is>
      </c>
      <c r="D14" s="15" t="inlineStr">
        <is>
          <t>Capital Goods &amp; Engineering</t>
        </is>
      </c>
      <c r="E14" s="19" t="n">
        <v>8.300000000000001</v>
      </c>
      <c r="F14" s="19" t="n">
        <v>7.9</v>
      </c>
      <c r="G14" s="19" t="n">
        <v>31.1</v>
      </c>
      <c r="H14" s="20" t="n">
        <v>114.5</v>
      </c>
      <c r="I14" s="20" t="n">
        <v>132.8</v>
      </c>
      <c r="J14" s="20" t="n">
        <v>339.7</v>
      </c>
      <c r="K14" s="16" t="n">
        <v>65</v>
      </c>
      <c r="L14" s="17" t="n">
        <v>38</v>
      </c>
      <c r="M14" s="16" t="n">
        <v>145</v>
      </c>
      <c r="N14" s="25" t="n">
        <v>8.4</v>
      </c>
      <c r="O14" s="25" t="n">
        <v>3.9</v>
      </c>
      <c r="P14" s="25" t="n">
        <v>4.5</v>
      </c>
      <c r="Q14" s="18" t="n">
        <v>65.3</v>
      </c>
      <c r="R14" s="14" t="inlineStr">
        <is>
          <t>Rooftop &amp; Ground Mounted Solar (Hazira/Chennai)</t>
        </is>
      </c>
      <c r="S14" s="14" t="inlineStr">
        <is>
          <t>Water &amp; Carbon Neutral by 2040</t>
        </is>
      </c>
    </row>
    <row r="15" ht="20" customHeight="1">
      <c r="A15" s="7" t="inlineStr">
        <is>
          <t>Mahindra &amp; Mahindra Ltd</t>
        </is>
      </c>
      <c r="B15" s="8" t="inlineStr">
        <is>
          <t>M&amp;M</t>
        </is>
      </c>
      <c r="C15" s="8" t="inlineStr">
        <is>
          <t>Large Cap</t>
        </is>
      </c>
      <c r="D15" s="8" t="inlineStr">
        <is>
          <t>Automotive &amp; Ancillary</t>
        </is>
      </c>
      <c r="E15" s="12" t="n">
        <v>-7.5</v>
      </c>
      <c r="F15" s="12" t="n">
        <v>2.4</v>
      </c>
      <c r="G15" s="13" t="n">
        <v>104</v>
      </c>
      <c r="H15" s="13" t="n">
        <v>150</v>
      </c>
      <c r="I15" s="13" t="n">
        <v>294.7</v>
      </c>
      <c r="J15" s="13" t="n">
        <v>421.5</v>
      </c>
      <c r="K15" s="9" t="n">
        <v>78</v>
      </c>
      <c r="L15" s="10" t="n">
        <v>45</v>
      </c>
      <c r="M15" s="9" t="n">
        <v>160</v>
      </c>
      <c r="N15" s="24" t="n">
        <v>8.9</v>
      </c>
      <c r="O15" s="24" t="n">
        <v>3.8</v>
      </c>
      <c r="P15" s="24" t="n">
        <v>5.1</v>
      </c>
      <c r="Q15" s="11" t="n">
        <v>81.59999999999999</v>
      </c>
      <c r="R15" s="7" t="inlineStr">
        <is>
          <t>Group Captive Solar with Mahindra Susten</t>
        </is>
      </c>
      <c r="S15" s="7" t="inlineStr">
        <is>
          <t>100% RE by 2030 (EP100 &amp; RE100)</t>
        </is>
      </c>
    </row>
    <row r="16" ht="20" customHeight="1">
      <c r="A16" s="14" t="inlineStr">
        <is>
          <t>Wipro Ltd</t>
        </is>
      </c>
      <c r="B16" s="15" t="inlineStr">
        <is>
          <t>WIPRO</t>
        </is>
      </c>
      <c r="C16" s="15" t="inlineStr">
        <is>
          <t>Large Cap</t>
        </is>
      </c>
      <c r="D16" s="15" t="inlineStr">
        <is>
          <t>IT &amp; Software Services</t>
        </is>
      </c>
      <c r="E16" s="19" t="n">
        <v>-26.3</v>
      </c>
      <c r="F16" s="19" t="n">
        <v>-34.8</v>
      </c>
      <c r="G16" s="19" t="n">
        <v>-13.1</v>
      </c>
      <c r="H16" s="19" t="n">
        <v>-10.5</v>
      </c>
      <c r="I16" s="19" t="n">
        <v>-44.4</v>
      </c>
      <c r="J16" s="19" t="n">
        <v>12.5</v>
      </c>
      <c r="K16" s="16" t="n">
        <v>45</v>
      </c>
      <c r="L16" s="17" t="n">
        <v>68</v>
      </c>
      <c r="M16" s="16" t="n">
        <v>190</v>
      </c>
      <c r="N16" s="25" t="n">
        <v>9.1</v>
      </c>
      <c r="O16" s="25" t="n">
        <v>3.6</v>
      </c>
      <c r="P16" s="25" t="n">
        <v>5.5</v>
      </c>
      <c r="Q16" s="18" t="n">
        <v>104.5</v>
      </c>
      <c r="R16" s="14" t="inlineStr">
        <is>
          <t>PPA Open Access Solar + Campus Rooftop</t>
        </is>
      </c>
      <c r="S16" s="14" t="inlineStr">
        <is>
          <t>RE100, Net Zero GHG by 2040</t>
        </is>
      </c>
    </row>
    <row r="17" ht="20" customHeight="1">
      <c r="A17" s="7" t="inlineStr">
        <is>
          <t>Grasim Industries Ltd</t>
        </is>
      </c>
      <c r="B17" s="8" t="inlineStr">
        <is>
          <t>GRASIM</t>
        </is>
      </c>
      <c r="C17" s="8" t="inlineStr">
        <is>
          <t>Large Cap</t>
        </is>
      </c>
      <c r="D17" s="8" t="inlineStr">
        <is>
          <t>Chemicals &amp; Petrochemicals</t>
        </is>
      </c>
      <c r="E17" s="12" t="n">
        <v>20.5</v>
      </c>
      <c r="F17" s="12" t="n">
        <v>18.8</v>
      </c>
      <c r="G17" s="12" t="n">
        <v>71.7</v>
      </c>
      <c r="H17" s="12" t="n">
        <v>99.09999999999999</v>
      </c>
      <c r="I17" s="12" t="n">
        <v>99.8</v>
      </c>
      <c r="J17" s="13" t="n">
        <v>348.2</v>
      </c>
      <c r="K17" s="9" t="n">
        <v>185</v>
      </c>
      <c r="L17" s="10" t="n">
        <v>24</v>
      </c>
      <c r="M17" s="9" t="n">
        <v>450</v>
      </c>
      <c r="N17" s="24" t="n">
        <v>7.9</v>
      </c>
      <c r="O17" s="24" t="n">
        <v>3.8</v>
      </c>
      <c r="P17" s="24" t="n">
        <v>4.1</v>
      </c>
      <c r="Q17" s="11" t="n">
        <v>184.5</v>
      </c>
      <c r="R17" s="7" t="inlineStr">
        <is>
          <t>Group Captive Solar/Wind + Biomass</t>
        </is>
      </c>
      <c r="S17" s="7" t="inlineStr">
        <is>
          <t>50% RE by 2030</t>
        </is>
      </c>
    </row>
    <row r="18" ht="20" customHeight="1">
      <c r="A18" s="14" t="inlineStr">
        <is>
          <t>Titan Company Ltd</t>
        </is>
      </c>
      <c r="B18" s="15" t="inlineStr">
        <is>
          <t>TITAN</t>
        </is>
      </c>
      <c r="C18" s="15" t="inlineStr">
        <is>
          <t>Large Cap</t>
        </is>
      </c>
      <c r="D18" s="15" t="inlineStr">
        <is>
          <t>FMCG &amp; Consumer Goods</t>
        </is>
      </c>
      <c r="E18" s="19" t="n">
        <v>49.1</v>
      </c>
      <c r="F18" s="19" t="n">
        <v>31.3</v>
      </c>
      <c r="G18" s="19" t="n">
        <v>59.4</v>
      </c>
      <c r="H18" s="19" t="n">
        <v>92.59999999999999</v>
      </c>
      <c r="I18" s="20" t="n">
        <v>132.2</v>
      </c>
      <c r="J18" s="20" t="n">
        <v>317.9</v>
      </c>
      <c r="K18" s="16" t="n">
        <v>18</v>
      </c>
      <c r="L18" s="17" t="n">
        <v>72</v>
      </c>
      <c r="M18" s="16" t="n">
        <v>42</v>
      </c>
      <c r="N18" s="25" t="n">
        <v>8.699999999999999</v>
      </c>
      <c r="O18" s="25" t="n">
        <v>3.7</v>
      </c>
      <c r="P18" s="25" t="n">
        <v>5</v>
      </c>
      <c r="Q18" s="18" t="n">
        <v>21</v>
      </c>
      <c r="R18" s="14" t="inlineStr">
        <is>
          <t>Dedicated Solar Park + Rooftop Solar</t>
        </is>
      </c>
      <c r="S18" s="14" t="inlineStr">
        <is>
          <t>100% RE across manufacturing by 2027</t>
        </is>
      </c>
    </row>
    <row r="19" ht="20" customHeight="1">
      <c r="A19" s="7" t="inlineStr">
        <is>
          <t>Asian Paints Ltd</t>
        </is>
      </c>
      <c r="B19" s="8" t="inlineStr">
        <is>
          <t>ASIANPAINT</t>
        </is>
      </c>
      <c r="C19" s="8" t="inlineStr">
        <is>
          <t>Large Cap</t>
        </is>
      </c>
      <c r="D19" s="8" t="inlineStr">
        <is>
          <t>Chemicals &amp; Petrochemicals</t>
        </is>
      </c>
      <c r="E19" s="12" t="n">
        <v>7.5</v>
      </c>
      <c r="F19" s="12" t="n">
        <v>-24.1</v>
      </c>
      <c r="G19" s="12" t="n">
        <v>-20</v>
      </c>
      <c r="H19" s="12" t="n">
        <v>-24.4</v>
      </c>
      <c r="I19" s="12" t="n">
        <v>-22.1</v>
      </c>
      <c r="J19" s="12" t="n">
        <v>27.2</v>
      </c>
      <c r="K19" s="9" t="n">
        <v>42</v>
      </c>
      <c r="L19" s="10" t="n">
        <v>61</v>
      </c>
      <c r="M19" s="9" t="n">
        <v>88</v>
      </c>
      <c r="N19" s="24" t="n">
        <v>8.6</v>
      </c>
      <c r="O19" s="24" t="n">
        <v>3.75</v>
      </c>
      <c r="P19" s="24" t="n">
        <v>4.85</v>
      </c>
      <c r="Q19" s="11" t="n">
        <v>42.7</v>
      </c>
      <c r="R19" s="7" t="inlineStr">
        <is>
          <t>Rooftop Solar on all 8 plants + Wind PPAs</t>
        </is>
      </c>
      <c r="S19" s="7" t="inlineStr">
        <is>
          <t>75% RE by 2028</t>
        </is>
      </c>
    </row>
    <row r="20" ht="20" customHeight="1">
      <c r="A20" s="14" t="inlineStr">
        <is>
          <t>Sun Pharmaceutical Ltd</t>
        </is>
      </c>
      <c r="B20" s="15" t="inlineStr">
        <is>
          <t>SUNPHARMA</t>
        </is>
      </c>
      <c r="C20" s="15" t="inlineStr">
        <is>
          <t>Large Cap</t>
        </is>
      </c>
      <c r="D20" s="15" t="inlineStr">
        <is>
          <t>Pharmaceuticals &amp; Healthcare</t>
        </is>
      </c>
      <c r="E20" s="19" t="n">
        <v>19.1</v>
      </c>
      <c r="F20" s="19" t="n">
        <v>-1.4</v>
      </c>
      <c r="G20" s="19" t="n">
        <v>63.9</v>
      </c>
      <c r="H20" s="20" t="n">
        <v>100.2</v>
      </c>
      <c r="I20" s="20" t="n">
        <v>132.1</v>
      </c>
      <c r="J20" s="20" t="n">
        <v>279.5</v>
      </c>
      <c r="K20" s="16" t="n">
        <v>38</v>
      </c>
      <c r="L20" s="17" t="n">
        <v>35</v>
      </c>
      <c r="M20" s="16" t="n">
        <v>95</v>
      </c>
      <c r="N20" s="25" t="n">
        <v>8.5</v>
      </c>
      <c r="O20" s="25" t="n">
        <v>3.85</v>
      </c>
      <c r="P20" s="25" t="n">
        <v>4.65</v>
      </c>
      <c r="Q20" s="18" t="n">
        <v>44.2</v>
      </c>
      <c r="R20" s="14" t="inlineStr">
        <is>
          <t>Onsite Rooftop + Open Access Solar</t>
        </is>
      </c>
      <c r="S20" s="14" t="inlineStr">
        <is>
          <t>50% RE by 2030</t>
        </is>
      </c>
    </row>
    <row r="21" ht="20" customHeight="1">
      <c r="A21" s="7" t="inlineStr">
        <is>
          <t>Tech Mahindra Ltd</t>
        </is>
      </c>
      <c r="B21" s="8" t="inlineStr">
        <is>
          <t>TECHM</t>
        </is>
      </c>
      <c r="C21" s="8" t="inlineStr">
        <is>
          <t>Large Cap</t>
        </is>
      </c>
      <c r="D21" s="8" t="inlineStr">
        <is>
          <t>IT &amp; Software Services</t>
        </is>
      </c>
      <c r="E21" s="12" t="n">
        <v>14</v>
      </c>
      <c r="F21" s="12" t="n">
        <v>1.2</v>
      </c>
      <c r="G21" s="12" t="n">
        <v>30.6</v>
      </c>
      <c r="H21" s="12" t="n">
        <v>58.3</v>
      </c>
      <c r="I21" s="12" t="n">
        <v>15.7</v>
      </c>
      <c r="J21" s="13" t="n">
        <v>101.7</v>
      </c>
      <c r="K21" s="9" t="n">
        <v>25</v>
      </c>
      <c r="L21" s="10" t="n">
        <v>58</v>
      </c>
      <c r="M21" s="9" t="n">
        <v>72</v>
      </c>
      <c r="N21" s="24" t="n">
        <v>9.300000000000001</v>
      </c>
      <c r="O21" s="24" t="n">
        <v>3.6</v>
      </c>
      <c r="P21" s="24" t="n">
        <v>5.7</v>
      </c>
      <c r="Q21" s="11" t="n">
        <v>41</v>
      </c>
      <c r="R21" s="7" t="inlineStr">
        <is>
          <t>Green Tariffs + Campus Solar</t>
        </is>
      </c>
      <c r="S21" s="7" t="inlineStr">
        <is>
          <t>RE100, 100% RE by 2030</t>
        </is>
      </c>
    </row>
    <row r="22" ht="20" customHeight="1">
      <c r="A22" s="14" t="inlineStr">
        <is>
          <t>HCL Technologies Ltd</t>
        </is>
      </c>
      <c r="B22" s="15" t="inlineStr">
        <is>
          <t>HCLTECH</t>
        </is>
      </c>
      <c r="C22" s="15" t="inlineStr">
        <is>
          <t>Large Cap</t>
        </is>
      </c>
      <c r="D22" s="15" t="inlineStr">
        <is>
          <t>IT &amp; Software Services</t>
        </is>
      </c>
      <c r="E22" s="19" t="n">
        <v>-6.6</v>
      </c>
      <c r="F22" s="19" t="n">
        <v>-28</v>
      </c>
      <c r="G22" s="19" t="n">
        <v>4.7</v>
      </c>
      <c r="H22" s="19" t="n">
        <v>38.7</v>
      </c>
      <c r="I22" s="19" t="n">
        <v>1.1</v>
      </c>
      <c r="J22" s="19" t="n">
        <v>59.4</v>
      </c>
      <c r="K22" s="16" t="n">
        <v>32</v>
      </c>
      <c r="L22" s="17" t="n">
        <v>62</v>
      </c>
      <c r="M22" s="16" t="n">
        <v>110</v>
      </c>
      <c r="N22" s="25" t="n">
        <v>9.199999999999999</v>
      </c>
      <c r="O22" s="25" t="n">
        <v>3.65</v>
      </c>
      <c r="P22" s="25" t="n">
        <v>5.55</v>
      </c>
      <c r="Q22" s="18" t="n">
        <v>61.1</v>
      </c>
      <c r="R22" s="14" t="inlineStr">
        <is>
          <t>Campus Rooftop PV + Green Open Access</t>
        </is>
      </c>
      <c r="S22" s="14" t="inlineStr">
        <is>
          <t>RE100, Net Zero by 2040</t>
        </is>
      </c>
    </row>
    <row r="23" ht="20" customHeight="1">
      <c r="A23" s="7" t="inlineStr">
        <is>
          <t>Adani Ports and SEZ Ltd</t>
        </is>
      </c>
      <c r="B23" s="8" t="inlineStr">
        <is>
          <t>ADANIPORTS</t>
        </is>
      </c>
      <c r="C23" s="8" t="inlineStr">
        <is>
          <t>Large Cap</t>
        </is>
      </c>
      <c r="D23" s="8" t="inlineStr">
        <is>
          <t>Conglomerates &amp; Diversified</t>
        </is>
      </c>
      <c r="E23" s="12" t="n">
        <v>21.6</v>
      </c>
      <c r="F23" s="12" t="n">
        <v>17.9</v>
      </c>
      <c r="G23" s="13" t="n">
        <v>106.9</v>
      </c>
      <c r="H23" s="13" t="n">
        <v>108</v>
      </c>
      <c r="I23" s="13" t="n">
        <v>131.4</v>
      </c>
      <c r="J23" s="13" t="n">
        <v>399.6</v>
      </c>
      <c r="K23" s="9" t="n">
        <v>65</v>
      </c>
      <c r="L23" s="10" t="n">
        <v>39</v>
      </c>
      <c r="M23" s="9" t="n">
        <v>130</v>
      </c>
      <c r="N23" s="24" t="n">
        <v>8</v>
      </c>
      <c r="O23" s="24" t="n">
        <v>3.7</v>
      </c>
      <c r="P23" s="24" t="n">
        <v>4.3</v>
      </c>
      <c r="Q23" s="11" t="n">
        <v>55.9</v>
      </c>
      <c r="R23" s="7" t="inlineStr">
        <is>
          <t>Rooftop &amp; Port Land Solar PV</t>
        </is>
      </c>
      <c r="S23" s="7" t="inlineStr">
        <is>
          <t>Carbon Neutral by 2025, 100% RE by 2030</t>
        </is>
      </c>
    </row>
    <row r="24" ht="20" customHeight="1">
      <c r="A24" s="14" t="inlineStr">
        <is>
          <t>NTPC Ltd (Captive &amp; Green)</t>
        </is>
      </c>
      <c r="B24" s="15" t="inlineStr">
        <is>
          <t>NTPC</t>
        </is>
      </c>
      <c r="C24" s="15" t="inlineStr">
        <is>
          <t>Large Cap</t>
        </is>
      </c>
      <c r="D24" s="15" t="inlineStr">
        <is>
          <t>Power Utilities &amp; Cleantech</t>
        </is>
      </c>
      <c r="E24" s="19" t="n">
        <v>-2.3</v>
      </c>
      <c r="F24" s="19" t="n">
        <v>-25</v>
      </c>
      <c r="G24" s="19" t="n">
        <v>35.4</v>
      </c>
      <c r="H24" s="20" t="n">
        <v>108.3</v>
      </c>
      <c r="I24" s="20" t="n">
        <v>134.4</v>
      </c>
      <c r="J24" s="20" t="n">
        <v>290.7</v>
      </c>
      <c r="K24" s="16" t="n">
        <v>3500</v>
      </c>
      <c r="L24" s="17" t="n">
        <v>12</v>
      </c>
      <c r="M24" s="16" t="n">
        <v>4500</v>
      </c>
      <c r="N24" s="25" t="n">
        <v>6.5</v>
      </c>
      <c r="O24" s="25" t="n">
        <v>3.1</v>
      </c>
      <c r="P24" s="25" t="n">
        <v>3.4</v>
      </c>
      <c r="Q24" s="18" t="n">
        <v>1530</v>
      </c>
      <c r="R24" s="14" t="inlineStr">
        <is>
          <t>Utility Solar + Floating Solar at Reservoirs</t>
        </is>
      </c>
      <c r="S24" s="14" t="inlineStr">
        <is>
          <t>60 GW RE by 2032 (NTPC Green Energy)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6" t="inlineStr">
        <is>
          <t>India Listed Mid-Cap Companies: Renewables &amp; 1-6 Year Returns</t>
        </is>
      </c>
    </row>
    <row r="2" ht="20" customHeight="1">
      <c r="A2" s="37" t="inlineStr">
        <is>
          <t>SEBI 101-250 Listed Corporates | High-Green Mix Manufacturing, Auto, Cement &amp; Specialty Chem</t>
        </is>
      </c>
    </row>
    <row r="3" ht="8" customHeight="1"/>
    <row r="4" ht="28" customHeight="1">
      <c r="A4" s="38" t="inlineStr">
        <is>
          <t>Company Name</t>
        </is>
      </c>
      <c r="B4" s="38" t="inlineStr">
        <is>
          <t>Ticker</t>
        </is>
      </c>
      <c r="C4" s="38" t="inlineStr">
        <is>
          <t>Cap Tier</t>
        </is>
      </c>
      <c r="D4" s="38" t="inlineStr">
        <is>
          <t>Sector</t>
        </is>
      </c>
      <c r="E4" s="38" t="inlineStr">
        <is>
          <t>1Y Ret (%)</t>
        </is>
      </c>
      <c r="F4" s="38" t="inlineStr">
        <is>
          <t>2Y Ret (%)</t>
        </is>
      </c>
      <c r="G4" s="38" t="inlineStr">
        <is>
          <t>3Y Ret (%)</t>
        </is>
      </c>
      <c r="H4" s="38" t="inlineStr">
        <is>
          <t>4Y Ret (%)</t>
        </is>
      </c>
      <c r="I4" s="38" t="inlineStr">
        <is>
          <t>5Y Ret (%)</t>
        </is>
      </c>
      <c r="J4" s="38" t="inlineStr">
        <is>
          <t>6Y Ret (%)</t>
        </is>
      </c>
      <c r="K4" s="38" t="inlineStr">
        <is>
          <t>RE Installed (MW)</t>
        </is>
      </c>
      <c r="L4" s="38" t="inlineStr">
        <is>
          <t>RE Power Share (%)</t>
        </is>
      </c>
      <c r="M4" s="38" t="inlineStr">
        <is>
          <t>Annual Green Units (MU)</t>
        </is>
      </c>
      <c r="N4" s="38" t="inlineStr">
        <is>
          <t>Grid Tariff (₹/kWh)</t>
        </is>
      </c>
      <c r="O4" s="38" t="inlineStr">
        <is>
          <t>Solar Cost (₹/kWh)</t>
        </is>
      </c>
      <c r="P4" s="38" t="inlineStr">
        <is>
          <t>Unit Shield (₹/kWh)</t>
        </is>
      </c>
      <c r="Q4" s="38" t="inlineStr">
        <is>
          <t>Annual Cost Shielded (₹ Cr)</t>
        </is>
      </c>
      <c r="R4" s="38" t="inlineStr">
        <is>
          <t>Primary RE Model</t>
        </is>
      </c>
      <c r="S4" s="38" t="inlineStr">
        <is>
          <t>Targets &amp; Commitments</t>
        </is>
      </c>
    </row>
    <row r="5" ht="20" customHeight="1">
      <c r="A5" s="7" t="inlineStr">
        <is>
          <t>Shree Cement Ltd</t>
        </is>
      </c>
      <c r="B5" s="8" t="inlineStr">
        <is>
          <t>SHREECEM</t>
        </is>
      </c>
      <c r="C5" s="8" t="inlineStr">
        <is>
          <t>Mid Cap</t>
        </is>
      </c>
      <c r="D5" s="8" t="inlineStr">
        <is>
          <t>Cement &amp; Building Materials</t>
        </is>
      </c>
      <c r="E5" s="12" t="n">
        <v>-18.5</v>
      </c>
      <c r="F5" s="12" t="n">
        <v>-9.300000000000001</v>
      </c>
      <c r="G5" s="12" t="n">
        <v>-6.3</v>
      </c>
      <c r="H5" s="12" t="n">
        <v>13.4</v>
      </c>
      <c r="I5" s="12" t="n">
        <v>-17.5</v>
      </c>
      <c r="J5" s="12" t="n">
        <v>17.8</v>
      </c>
      <c r="K5" s="9" t="n">
        <v>666.5</v>
      </c>
      <c r="L5" s="10" t="n">
        <v>58</v>
      </c>
      <c r="M5" s="9" t="n">
        <v>1950</v>
      </c>
      <c r="N5" s="24" t="n">
        <v>8.1</v>
      </c>
      <c r="O5" s="24" t="n">
        <v>3.6</v>
      </c>
      <c r="P5" s="24" t="n">
        <v>4.5</v>
      </c>
      <c r="Q5" s="11" t="n">
        <v>877.5</v>
      </c>
      <c r="R5" s="7" t="inlineStr">
        <is>
          <t>Captive Solar/Wind parks + WHRS integration</t>
        </is>
      </c>
      <c r="S5" s="7" t="inlineStr">
        <is>
          <t>Reach &gt;65% Green Power by 2027</t>
        </is>
      </c>
    </row>
    <row r="6" ht="20" customHeight="1">
      <c r="A6" s="14" t="inlineStr">
        <is>
          <t>Dalmia Bharat Ltd</t>
        </is>
      </c>
      <c r="B6" s="15" t="inlineStr">
        <is>
          <t>DALBHARAT</t>
        </is>
      </c>
      <c r="C6" s="15" t="inlineStr">
        <is>
          <t>Mid Cap</t>
        </is>
      </c>
      <c r="D6" s="15" t="inlineStr">
        <is>
          <t>Cement &amp; Building Materials</t>
        </is>
      </c>
      <c r="E6" s="19" t="n">
        <v>-21.3</v>
      </c>
      <c r="F6" s="19" t="n">
        <v>-9.4</v>
      </c>
      <c r="G6" s="19" t="n">
        <v>-27.1</v>
      </c>
      <c r="H6" s="19" t="n">
        <v>9.6</v>
      </c>
      <c r="I6" s="19" t="n">
        <v>-16.8</v>
      </c>
      <c r="J6" s="20" t="n">
        <v>124.2</v>
      </c>
      <c r="K6" s="16" t="n">
        <v>410</v>
      </c>
      <c r="L6" s="17" t="n">
        <v>47</v>
      </c>
      <c r="M6" s="16" t="n">
        <v>850</v>
      </c>
      <c r="N6" s="25" t="n">
        <v>8</v>
      </c>
      <c r="O6" s="25" t="n">
        <v>3.7</v>
      </c>
      <c r="P6" s="25" t="n">
        <v>4.3</v>
      </c>
      <c r="Q6" s="18" t="n">
        <v>365.5</v>
      </c>
      <c r="R6" s="14" t="inlineStr">
        <is>
          <t>RE100, Captive Solar + Open Access</t>
        </is>
      </c>
      <c r="S6" s="14" t="inlineStr">
        <is>
          <t>100% RE by 2030, Carbon Negative 2040</t>
        </is>
      </c>
    </row>
    <row r="7" ht="20" customHeight="1">
      <c r="A7" s="7" t="inlineStr">
        <is>
          <t>The Ramco Cements Ltd</t>
        </is>
      </c>
      <c r="B7" s="8" t="inlineStr">
        <is>
          <t>RAMCOCEM</t>
        </is>
      </c>
      <c r="C7" s="8" t="inlineStr">
        <is>
          <t>Mid Cap</t>
        </is>
      </c>
      <c r="D7" s="8" t="inlineStr">
        <is>
          <t>Cement &amp; Building Materials</t>
        </is>
      </c>
      <c r="E7" s="12" t="n">
        <v>-10.5</v>
      </c>
      <c r="F7" s="12" t="n">
        <v>1.7</v>
      </c>
      <c r="G7" s="12" t="n">
        <v>-3.1</v>
      </c>
      <c r="H7" s="12" t="n">
        <v>16.9</v>
      </c>
      <c r="I7" s="12" t="n">
        <v>-10.4</v>
      </c>
      <c r="J7" s="12" t="n">
        <v>17.1</v>
      </c>
      <c r="K7" s="9" t="n">
        <v>215</v>
      </c>
      <c r="L7" s="10" t="n">
        <v>42</v>
      </c>
      <c r="M7" s="9" t="n">
        <v>480</v>
      </c>
      <c r="N7" s="24" t="n">
        <v>8.300000000000001</v>
      </c>
      <c r="O7" s="24" t="n">
        <v>3.75</v>
      </c>
      <c r="P7" s="24" t="n">
        <v>4.55</v>
      </c>
      <c r="Q7" s="11" t="n">
        <v>218.4</v>
      </c>
      <c r="R7" s="7" t="inlineStr">
        <is>
          <t>Captive Wind farms in TN + Rooftop Solar</t>
        </is>
      </c>
      <c r="S7" s="7" t="inlineStr">
        <is>
          <t>60% RE by 2030</t>
        </is>
      </c>
    </row>
    <row r="8" ht="20" customHeight="1">
      <c r="A8" s="14" t="inlineStr">
        <is>
          <t>Tata Power Co Ltd</t>
        </is>
      </c>
      <c r="B8" s="15" t="inlineStr">
        <is>
          <t>TATAPOWER</t>
        </is>
      </c>
      <c r="C8" s="15" t="inlineStr">
        <is>
          <t>Mid Cap</t>
        </is>
      </c>
      <c r="D8" s="15" t="inlineStr">
        <is>
          <t>Power Utilities &amp; Cleantech</t>
        </is>
      </c>
      <c r="E8" s="19" t="n">
        <v>-5.3</v>
      </c>
      <c r="F8" s="19" t="n">
        <v>-23.7</v>
      </c>
      <c r="G8" s="19" t="n">
        <v>40.3</v>
      </c>
      <c r="H8" s="19" t="n">
        <v>70</v>
      </c>
      <c r="I8" s="20" t="n">
        <v>131.8</v>
      </c>
      <c r="J8" s="20" t="n">
        <v>590.4</v>
      </c>
      <c r="K8" s="16" t="n">
        <v>5500</v>
      </c>
      <c r="L8" s="17" t="n">
        <v>40</v>
      </c>
      <c r="M8" s="16" t="n">
        <v>7200</v>
      </c>
      <c r="N8" s="25" t="n">
        <v>7.8</v>
      </c>
      <c r="O8" s="25" t="n">
        <v>3.3</v>
      </c>
      <c r="P8" s="25" t="n">
        <v>4.5</v>
      </c>
      <c r="Q8" s="18" t="n">
        <v>3240</v>
      </c>
      <c r="R8" s="14" t="inlineStr">
        <is>
          <t>Utility RE + Group Captive Solar Developer</t>
        </is>
      </c>
      <c r="S8" s="14" t="inlineStr">
        <is>
          <t>100% Clean Energy by 2045</t>
        </is>
      </c>
    </row>
    <row r="9" ht="20" customHeight="1">
      <c r="A9" s="7" t="inlineStr">
        <is>
          <t>JSW Energy Ltd</t>
        </is>
      </c>
      <c r="B9" s="8" t="inlineStr">
        <is>
          <t>JSWENERGY</t>
        </is>
      </c>
      <c r="C9" s="8" t="inlineStr">
        <is>
          <t>Mid Cap</t>
        </is>
      </c>
      <c r="D9" s="8" t="inlineStr">
        <is>
          <t>Power Utilities &amp; Cleantech</t>
        </is>
      </c>
      <c r="E9" s="12" t="n">
        <v>1.7</v>
      </c>
      <c r="F9" s="12" t="n">
        <v>-26.4</v>
      </c>
      <c r="G9" s="12" t="n">
        <v>23.4</v>
      </c>
      <c r="H9" s="12" t="n">
        <v>79.7</v>
      </c>
      <c r="I9" s="12" t="n">
        <v>38.5</v>
      </c>
      <c r="J9" s="13" t="n">
        <v>857.2</v>
      </c>
      <c r="K9" s="9" t="n">
        <v>3200</v>
      </c>
      <c r="L9" s="10" t="n">
        <v>45</v>
      </c>
      <c r="M9" s="9" t="n">
        <v>4800</v>
      </c>
      <c r="N9" s="24" t="n">
        <v>7.7</v>
      </c>
      <c r="O9" s="24" t="n">
        <v>3.25</v>
      </c>
      <c r="P9" s="24" t="n">
        <v>4.45</v>
      </c>
      <c r="Q9" s="11" t="n">
        <v>2136</v>
      </c>
      <c r="R9" s="7" t="inlineStr">
        <is>
          <t>Solar, Wind &amp; Pumped Hydro Developer</t>
        </is>
      </c>
      <c r="S9" s="7" t="inlineStr">
        <is>
          <t>20 GW by 2030, 85% RE share</t>
        </is>
      </c>
    </row>
    <row r="10" ht="20" customHeight="1">
      <c r="A10" s="14" t="inlineStr">
        <is>
          <t>Jindal Stainless Ltd</t>
        </is>
      </c>
      <c r="B10" s="15" t="inlineStr">
        <is>
          <t>JINDALSTEL</t>
        </is>
      </c>
      <c r="C10" s="15" t="inlineStr">
        <is>
          <t>Mid Cap</t>
        </is>
      </c>
      <c r="D10" s="15" t="inlineStr">
        <is>
          <t>Metals &amp; Mining</t>
        </is>
      </c>
      <c r="E10" s="19" t="n">
        <v>9.5</v>
      </c>
      <c r="F10" s="19" t="n">
        <v>12.1</v>
      </c>
      <c r="G10" s="19" t="n">
        <v>66.09999999999999</v>
      </c>
      <c r="H10" s="20" t="n">
        <v>171.8</v>
      </c>
      <c r="I10" s="20" t="n">
        <v>199.3</v>
      </c>
      <c r="J10" s="20" t="n">
        <v>523.5</v>
      </c>
      <c r="K10" s="16" t="n">
        <v>300</v>
      </c>
      <c r="L10" s="17" t="n">
        <v>18</v>
      </c>
      <c r="M10" s="16" t="n">
        <v>650</v>
      </c>
      <c r="N10" s="25" t="n">
        <v>7.8</v>
      </c>
      <c r="O10" s="25" t="n">
        <v>3.8</v>
      </c>
      <c r="P10" s="25" t="n">
        <v>4</v>
      </c>
      <c r="Q10" s="18" t="n">
        <v>260</v>
      </c>
      <c r="R10" s="14" t="inlineStr">
        <is>
          <t>Captive Hybrid PPA with ReNew &amp; Rooftop</t>
        </is>
      </c>
      <c r="S10" s="14" t="inlineStr">
        <is>
          <t>50% Carbon Reduction by 2035</t>
        </is>
      </c>
    </row>
    <row r="11" ht="20" customHeight="1">
      <c r="A11" s="7" t="inlineStr">
        <is>
          <t>Bharat Forge Ltd</t>
        </is>
      </c>
      <c r="B11" s="8" t="inlineStr">
        <is>
          <t>BHARATFORG</t>
        </is>
      </c>
      <c r="C11" s="8" t="inlineStr">
        <is>
          <t>Mid Cap</t>
        </is>
      </c>
      <c r="D11" s="8" t="inlineStr">
        <is>
          <t>Automotive &amp; Ancillary</t>
        </is>
      </c>
      <c r="E11" s="12" t="n">
        <v>61.3</v>
      </c>
      <c r="F11" s="12" t="n">
        <v>29</v>
      </c>
      <c r="G11" s="12" t="n">
        <v>79.2</v>
      </c>
      <c r="H11" s="13" t="n">
        <v>181.2</v>
      </c>
      <c r="I11" s="13" t="n">
        <v>165.2</v>
      </c>
      <c r="J11" s="13" t="n">
        <v>337</v>
      </c>
      <c r="K11" s="9" t="n">
        <v>52</v>
      </c>
      <c r="L11" s="10" t="n">
        <v>36</v>
      </c>
      <c r="M11" s="9" t="n">
        <v>135</v>
      </c>
      <c r="N11" s="24" t="n">
        <v>8.9</v>
      </c>
      <c r="O11" s="24" t="n">
        <v>3.8</v>
      </c>
      <c r="P11" s="24" t="n">
        <v>5.1</v>
      </c>
      <c r="Q11" s="11" t="n">
        <v>68.90000000000001</v>
      </c>
      <c r="R11" s="7" t="inlineStr">
        <is>
          <t>Group Captive Solar in Maharashtra</t>
        </is>
      </c>
      <c r="S11" s="7" t="inlineStr">
        <is>
          <t>Carbon Neutral by 2040</t>
        </is>
      </c>
    </row>
    <row r="12" ht="20" customHeight="1">
      <c r="A12" s="14" t="inlineStr">
        <is>
          <t>Apollo Tyres Ltd</t>
        </is>
      </c>
      <c r="B12" s="15" t="inlineStr">
        <is>
          <t>APOLLOTYRE</t>
        </is>
      </c>
      <c r="C12" s="15" t="inlineStr">
        <is>
          <t>Mid Cap</t>
        </is>
      </c>
      <c r="D12" s="15" t="inlineStr">
        <is>
          <t>Automotive &amp; Ancillary</t>
        </is>
      </c>
      <c r="E12" s="19" t="n">
        <v>-8.9</v>
      </c>
      <c r="F12" s="19" t="n">
        <v>-21.4</v>
      </c>
      <c r="G12" s="19" t="n">
        <v>16.9</v>
      </c>
      <c r="H12" s="19" t="n">
        <v>54.6</v>
      </c>
      <c r="I12" s="19" t="n">
        <v>90.90000000000001</v>
      </c>
      <c r="J12" s="20" t="n">
        <v>229.3</v>
      </c>
      <c r="K12" s="16" t="n">
        <v>48</v>
      </c>
      <c r="L12" s="17" t="n">
        <v>32</v>
      </c>
      <c r="M12" s="16" t="n">
        <v>120</v>
      </c>
      <c r="N12" s="25" t="n">
        <v>8.6</v>
      </c>
      <c r="O12" s="25" t="n">
        <v>3.75</v>
      </c>
      <c r="P12" s="25" t="n">
        <v>4.85</v>
      </c>
      <c r="Q12" s="18" t="n">
        <v>58.2</v>
      </c>
      <c r="R12" s="14" t="inlineStr">
        <is>
          <t>Open Access Solar in AP &amp; Gujarat</t>
        </is>
      </c>
      <c r="S12" s="14" t="inlineStr">
        <is>
          <t>25% Carbon Intensity cut by 2026</t>
        </is>
      </c>
    </row>
    <row r="13" ht="20" customHeight="1">
      <c r="A13" s="7" t="inlineStr">
        <is>
          <t>CEAT Ltd</t>
        </is>
      </c>
      <c r="B13" s="8" t="inlineStr">
        <is>
          <t>CEATLTD</t>
        </is>
      </c>
      <c r="C13" s="8" t="inlineStr">
        <is>
          <t>Mid Cap</t>
        </is>
      </c>
      <c r="D13" s="8" t="inlineStr">
        <is>
          <t>Automotive &amp; Ancillary</t>
        </is>
      </c>
      <c r="E13" s="12" t="n">
        <v>-1.5</v>
      </c>
      <c r="F13" s="12" t="n">
        <v>5.6</v>
      </c>
      <c r="G13" s="12" t="n">
        <v>57.1</v>
      </c>
      <c r="H13" s="13" t="n">
        <v>111.8</v>
      </c>
      <c r="I13" s="13" t="n">
        <v>152.2</v>
      </c>
      <c r="J13" s="13" t="n">
        <v>233.6</v>
      </c>
      <c r="K13" s="9" t="n">
        <v>38</v>
      </c>
      <c r="L13" s="10" t="n">
        <v>34</v>
      </c>
      <c r="M13" s="9" t="n">
        <v>95</v>
      </c>
      <c r="N13" s="24" t="n">
        <v>8.699999999999999</v>
      </c>
      <c r="O13" s="24" t="n">
        <v>3.8</v>
      </c>
      <c r="P13" s="24" t="n">
        <v>4.9</v>
      </c>
      <c r="Q13" s="11" t="n">
        <v>46.6</v>
      </c>
      <c r="R13" s="7" t="inlineStr">
        <is>
          <t>Rooftop Solar + Captive Solar PPA</t>
        </is>
      </c>
      <c r="S13" s="7" t="inlineStr">
        <is>
          <t>50% RE by 2030</t>
        </is>
      </c>
    </row>
    <row r="14" ht="20" customHeight="1">
      <c r="A14" s="14" t="inlineStr">
        <is>
          <t>SRF Ltd</t>
        </is>
      </c>
      <c r="B14" s="15" t="inlineStr">
        <is>
          <t>SRF</t>
        </is>
      </c>
      <c r="C14" s="15" t="inlineStr">
        <is>
          <t>Mid Cap</t>
        </is>
      </c>
      <c r="D14" s="15" t="inlineStr">
        <is>
          <t>Chemicals &amp; Petrochemicals</t>
        </is>
      </c>
      <c r="E14" s="19" t="n">
        <v>-9.800000000000001</v>
      </c>
      <c r="F14" s="19" t="n">
        <v>2</v>
      </c>
      <c r="G14" s="19" t="n">
        <v>13.2</v>
      </c>
      <c r="H14" s="19" t="n">
        <v>1.7</v>
      </c>
      <c r="I14" s="19" t="n">
        <v>12.9</v>
      </c>
      <c r="J14" s="20" t="n">
        <v>208.3</v>
      </c>
      <c r="K14" s="16" t="n">
        <v>65</v>
      </c>
      <c r="L14" s="17" t="n">
        <v>22</v>
      </c>
      <c r="M14" s="16" t="n">
        <v>160</v>
      </c>
      <c r="N14" s="25" t="n">
        <v>8</v>
      </c>
      <c r="O14" s="25" t="n">
        <v>3.85</v>
      </c>
      <c r="P14" s="25" t="n">
        <v>4.15</v>
      </c>
      <c r="Q14" s="18" t="n">
        <v>66.40000000000001</v>
      </c>
      <c r="R14" s="14" t="inlineStr">
        <is>
          <t>Open Access Solar in Rajasthan &amp; MP</t>
        </is>
      </c>
      <c r="S14" s="14" t="inlineStr">
        <is>
          <t>35% RE by 2028</t>
        </is>
      </c>
    </row>
    <row r="15" ht="20" customHeight="1">
      <c r="A15" s="7" t="inlineStr">
        <is>
          <t>PI Industries Ltd</t>
        </is>
      </c>
      <c r="B15" s="8" t="inlineStr">
        <is>
          <t>PIIND</t>
        </is>
      </c>
      <c r="C15" s="8" t="inlineStr">
        <is>
          <t>Mid Cap</t>
        </is>
      </c>
      <c r="D15" s="8" t="inlineStr">
        <is>
          <t>Chemicals &amp; Petrochemicals</t>
        </is>
      </c>
      <c r="E15" s="12" t="n">
        <v>-29.8</v>
      </c>
      <c r="F15" s="12" t="n">
        <v>-47.1</v>
      </c>
      <c r="G15" s="12" t="n">
        <v>-28.6</v>
      </c>
      <c r="H15" s="12" t="n">
        <v>-17.8</v>
      </c>
      <c r="I15" s="12" t="n">
        <v>-22.4</v>
      </c>
      <c r="J15" s="12" t="n">
        <v>25</v>
      </c>
      <c r="K15" s="9" t="n">
        <v>28</v>
      </c>
      <c r="L15" s="10" t="n">
        <v>31</v>
      </c>
      <c r="M15" s="9" t="n">
        <v>65</v>
      </c>
      <c r="N15" s="24" t="n">
        <v>8.199999999999999</v>
      </c>
      <c r="O15" s="24" t="n">
        <v>3.7</v>
      </c>
      <c r="P15" s="24" t="n">
        <v>4.5</v>
      </c>
      <c r="Q15" s="11" t="n">
        <v>29.3</v>
      </c>
      <c r="R15" s="7" t="inlineStr">
        <is>
          <t>Onsite Rooftop Solar + Offsite Open Access</t>
        </is>
      </c>
      <c r="S15" s="7" t="inlineStr">
        <is>
          <t>45% RE by 2030</t>
        </is>
      </c>
    </row>
    <row r="16" ht="20" customHeight="1">
      <c r="A16" s="14" t="inlineStr">
        <is>
          <t>Biocon Ltd</t>
        </is>
      </c>
      <c r="B16" s="15" t="inlineStr">
        <is>
          <t>BIOCON</t>
        </is>
      </c>
      <c r="C16" s="15" t="inlineStr">
        <is>
          <t>Mid Cap</t>
        </is>
      </c>
      <c r="D16" s="15" t="inlineStr">
        <is>
          <t>Pharmaceuticals &amp; Healthcare</t>
        </is>
      </c>
      <c r="E16" s="19" t="n">
        <v>16.5</v>
      </c>
      <c r="F16" s="19" t="n">
        <v>9.4</v>
      </c>
      <c r="G16" s="19" t="n">
        <v>46</v>
      </c>
      <c r="H16" s="19" t="n">
        <v>36.6</v>
      </c>
      <c r="I16" s="19" t="n">
        <v>9.6</v>
      </c>
      <c r="J16" s="19" t="n">
        <v>-11.2</v>
      </c>
      <c r="K16" s="16" t="n">
        <v>22</v>
      </c>
      <c r="L16" s="17" t="n">
        <v>48</v>
      </c>
      <c r="M16" s="16" t="n">
        <v>58</v>
      </c>
      <c r="N16" s="25" t="n">
        <v>8.800000000000001</v>
      </c>
      <c r="O16" s="25" t="n">
        <v>3.8</v>
      </c>
      <c r="P16" s="25" t="n">
        <v>5</v>
      </c>
      <c r="Q16" s="18" t="n">
        <v>29</v>
      </c>
      <c r="R16" s="14" t="inlineStr">
        <is>
          <t>Open Access Solar with CleanMax</t>
        </is>
      </c>
      <c r="S16" s="14" t="inlineStr">
        <is>
          <t>70% RE by 2028</t>
        </is>
      </c>
    </row>
    <row r="17" ht="20" customHeight="1">
      <c r="A17" s="7" t="inlineStr">
        <is>
          <t>Marico Ltd</t>
        </is>
      </c>
      <c r="B17" s="8" t="inlineStr">
        <is>
          <t>MARICO</t>
        </is>
      </c>
      <c r="C17" s="8" t="inlineStr">
        <is>
          <t>Mid Cap</t>
        </is>
      </c>
      <c r="D17" s="8" t="inlineStr">
        <is>
          <t>FMCG &amp; Consumer Goods</t>
        </is>
      </c>
      <c r="E17" s="12" t="n">
        <v>16.9</v>
      </c>
      <c r="F17" s="12" t="n">
        <v>17.2</v>
      </c>
      <c r="G17" s="12" t="n">
        <v>45.1</v>
      </c>
      <c r="H17" s="12" t="n">
        <v>51.6</v>
      </c>
      <c r="I17" s="12" t="n">
        <v>48.9</v>
      </c>
      <c r="J17" s="13" t="n">
        <v>124.6</v>
      </c>
      <c r="K17" s="9" t="n">
        <v>16</v>
      </c>
      <c r="L17" s="10" t="n">
        <v>65</v>
      </c>
      <c r="M17" s="9" t="n">
        <v>32</v>
      </c>
      <c r="N17" s="24" t="n">
        <v>8.5</v>
      </c>
      <c r="O17" s="24" t="n">
        <v>3.7</v>
      </c>
      <c r="P17" s="24" t="n">
        <v>4.8</v>
      </c>
      <c r="Q17" s="11" t="n">
        <v>15.4</v>
      </c>
      <c r="R17" s="7" t="inlineStr">
        <is>
          <t>Rooftop Solar on 100% of owned factories</t>
        </is>
      </c>
      <c r="S17" s="7" t="inlineStr">
        <is>
          <t>Net Zero emissions by 2040</t>
        </is>
      </c>
    </row>
    <row r="18" ht="20" customHeight="1">
      <c r="A18" s="14" t="inlineStr">
        <is>
          <t>Godrej Consumer Products</t>
        </is>
      </c>
      <c r="B18" s="15" t="inlineStr">
        <is>
          <t>GODREJCP</t>
        </is>
      </c>
      <c r="C18" s="15" t="inlineStr">
        <is>
          <t>Mid Cap</t>
        </is>
      </c>
      <c r="D18" s="15" t="inlineStr">
        <is>
          <t>FMCG &amp; Consumer Goods</t>
        </is>
      </c>
      <c r="E18" s="19" t="n">
        <v>-24.8</v>
      </c>
      <c r="F18" s="19" t="n">
        <v>-37</v>
      </c>
      <c r="G18" s="19" t="n">
        <v>-11.5</v>
      </c>
      <c r="H18" s="19" t="n">
        <v>-3.6</v>
      </c>
      <c r="I18" s="19" t="n">
        <v>-14.7</v>
      </c>
      <c r="J18" s="19" t="n">
        <v>21.1</v>
      </c>
      <c r="K18" s="16" t="n">
        <v>18</v>
      </c>
      <c r="L18" s="17" t="n">
        <v>42</v>
      </c>
      <c r="M18" s="16" t="n">
        <v>38</v>
      </c>
      <c r="N18" s="25" t="n">
        <v>8.6</v>
      </c>
      <c r="O18" s="25" t="n">
        <v>3.75</v>
      </c>
      <c r="P18" s="25" t="n">
        <v>4.85</v>
      </c>
      <c r="Q18" s="18" t="n">
        <v>18.4</v>
      </c>
      <c r="R18" s="14" t="inlineStr">
        <is>
          <t>Onsite Rooftop Solar + Green Tariff</t>
        </is>
      </c>
      <c r="S18" s="14" t="inlineStr">
        <is>
          <t>100% RE by 2030</t>
        </is>
      </c>
    </row>
    <row r="19" ht="20" customHeight="1">
      <c r="A19" s="7" t="inlineStr">
        <is>
          <t>Ashok Leyland Ltd</t>
        </is>
      </c>
      <c r="B19" s="8" t="inlineStr">
        <is>
          <t>ASHOKLEY</t>
        </is>
      </c>
      <c r="C19" s="8" t="inlineStr">
        <is>
          <t>Mid Cap</t>
        </is>
      </c>
      <c r="D19" s="8" t="inlineStr">
        <is>
          <t>Automotive &amp; Ancillary</t>
        </is>
      </c>
      <c r="E19" s="12" t="n">
        <v>18.5</v>
      </c>
      <c r="F19" s="12" t="n">
        <v>43.6</v>
      </c>
      <c r="G19" s="12" t="n">
        <v>91</v>
      </c>
      <c r="H19" s="13" t="n">
        <v>121.4</v>
      </c>
      <c r="I19" s="13" t="n">
        <v>152.6</v>
      </c>
      <c r="J19" s="13" t="n">
        <v>354.3</v>
      </c>
      <c r="K19" s="9" t="n">
        <v>55</v>
      </c>
      <c r="L19" s="10" t="n">
        <v>60</v>
      </c>
      <c r="M19" s="9" t="n">
        <v>115</v>
      </c>
      <c r="N19" s="24" t="n">
        <v>8.800000000000001</v>
      </c>
      <c r="O19" s="24" t="n">
        <v>3.7</v>
      </c>
      <c r="P19" s="24" t="n">
        <v>5.1</v>
      </c>
      <c r="Q19" s="11" t="n">
        <v>58.7</v>
      </c>
      <c r="R19" s="7" t="inlineStr">
        <is>
          <t>Rooftop Solar &amp; Wind PPA in Tamil Nadu</t>
        </is>
      </c>
      <c r="S19" s="7" t="inlineStr">
        <is>
          <t>100% RE across manufacturing by 2030</t>
        </is>
      </c>
    </row>
    <row r="20" ht="20" customHeight="1">
      <c r="A20" s="14" t="inlineStr">
        <is>
          <t>Cummins India Ltd</t>
        </is>
      </c>
      <c r="B20" s="15" t="inlineStr">
        <is>
          <t>CUMMINSIND</t>
        </is>
      </c>
      <c r="C20" s="15" t="inlineStr">
        <is>
          <t>Mid Cap</t>
        </is>
      </c>
      <c r="D20" s="15" t="inlineStr">
        <is>
          <t>Capital Goods &amp; Engineering</t>
        </is>
      </c>
      <c r="E20" s="19" t="n">
        <v>28.2</v>
      </c>
      <c r="F20" s="19" t="n">
        <v>32.3</v>
      </c>
      <c r="G20" s="20" t="n">
        <v>196.8</v>
      </c>
      <c r="H20" s="20" t="n">
        <v>321</v>
      </c>
      <c r="I20" s="20" t="n">
        <v>407.6</v>
      </c>
      <c r="J20" s="20" t="n">
        <v>1031</v>
      </c>
      <c r="K20" s="16" t="n">
        <v>14</v>
      </c>
      <c r="L20" s="17" t="n">
        <v>45</v>
      </c>
      <c r="M20" s="16" t="n">
        <v>28</v>
      </c>
      <c r="N20" s="25" t="n">
        <v>8.9</v>
      </c>
      <c r="O20" s="25" t="n">
        <v>3.8</v>
      </c>
      <c r="P20" s="25" t="n">
        <v>5.1</v>
      </c>
      <c r="Q20" s="18" t="n">
        <v>14.3</v>
      </c>
      <c r="R20" s="14" t="inlineStr">
        <is>
          <t>Rooftop Solar installations</t>
        </is>
      </c>
      <c r="S20" s="14" t="inlineStr">
        <is>
          <t>Planet 2050 target, 50% RE by 2030</t>
        </is>
      </c>
    </row>
    <row r="21" ht="20" customHeight="1">
      <c r="A21" s="7" t="inlineStr">
        <is>
          <t>Voltas Ltd</t>
        </is>
      </c>
      <c r="B21" s="8" t="inlineStr">
        <is>
          <t>VOLTAS</t>
        </is>
      </c>
      <c r="C21" s="8" t="inlineStr">
        <is>
          <t>Mid Cap</t>
        </is>
      </c>
      <c r="D21" s="8" t="inlineStr">
        <is>
          <t>FMCG &amp; Consumer Goods</t>
        </is>
      </c>
      <c r="E21" s="12" t="n">
        <v>-13.6</v>
      </c>
      <c r="F21" s="12" t="n">
        <v>-36.6</v>
      </c>
      <c r="G21" s="12" t="n">
        <v>35.5</v>
      </c>
      <c r="H21" s="12" t="n">
        <v>29.1</v>
      </c>
      <c r="I21" s="12" t="n">
        <v>-3.9</v>
      </c>
      <c r="J21" s="12" t="n">
        <v>72</v>
      </c>
      <c r="K21" s="9" t="n">
        <v>8.5</v>
      </c>
      <c r="L21" s="10" t="n">
        <v>40</v>
      </c>
      <c r="M21" s="9" t="n">
        <v>16</v>
      </c>
      <c r="N21" s="24" t="n">
        <v>8.699999999999999</v>
      </c>
      <c r="O21" s="24" t="n">
        <v>3.75</v>
      </c>
      <c r="P21" s="24" t="n">
        <v>4.95</v>
      </c>
      <c r="Q21" s="11" t="n">
        <v>7.9</v>
      </c>
      <c r="R21" s="7" t="inlineStr">
        <is>
          <t>Factory Rooftop Solar PV</t>
        </is>
      </c>
      <c r="S21" s="7" t="inlineStr">
        <is>
          <t>50% RE by 2030</t>
        </is>
      </c>
    </row>
    <row r="22" ht="20" customHeight="1">
      <c r="A22" s="14" t="inlineStr">
        <is>
          <t>Jubilant FoodWorks Ltd</t>
        </is>
      </c>
      <c r="B22" s="15" t="inlineStr">
        <is>
          <t>JUBLFOOD</t>
        </is>
      </c>
      <c r="C22" s="15" t="inlineStr">
        <is>
          <t>Mid Cap</t>
        </is>
      </c>
      <c r="D22" s="15" t="inlineStr">
        <is>
          <t>FMCG &amp; Consumer Goods</t>
        </is>
      </c>
      <c r="E22" s="19" t="n">
        <v>-21.8</v>
      </c>
      <c r="F22" s="19" t="n">
        <v>-29.2</v>
      </c>
      <c r="G22" s="19" t="n">
        <v>-9.5</v>
      </c>
      <c r="H22" s="19" t="n">
        <v>-22.5</v>
      </c>
      <c r="I22" s="19" t="n">
        <v>-40.3</v>
      </c>
      <c r="J22" s="19" t="n">
        <v>2.9</v>
      </c>
      <c r="K22" s="16" t="n">
        <v>12</v>
      </c>
      <c r="L22" s="17" t="n">
        <v>35</v>
      </c>
      <c r="M22" s="16" t="n">
        <v>24</v>
      </c>
      <c r="N22" s="25" t="n">
        <v>9.4</v>
      </c>
      <c r="O22" s="25" t="n">
        <v>4.1</v>
      </c>
      <c r="P22" s="25" t="n">
        <v>5.3</v>
      </c>
      <c r="Q22" s="18" t="n">
        <v>12.7</v>
      </c>
      <c r="R22" s="14" t="inlineStr">
        <is>
          <t>Green Open Access PPA for central kitchens</t>
        </is>
      </c>
      <c r="S22" s="14" t="inlineStr">
        <is>
          <t>50% RE by 2030</t>
        </is>
      </c>
    </row>
    <row r="23" ht="20" customHeight="1">
      <c r="A23" s="7" t="inlineStr">
        <is>
          <t>Supreme Industries Ltd</t>
        </is>
      </c>
      <c r="B23" s="8" t="inlineStr">
        <is>
          <t>SUPREMEIND</t>
        </is>
      </c>
      <c r="C23" s="8" t="inlineStr">
        <is>
          <t>Mid Cap</t>
        </is>
      </c>
      <c r="D23" s="8" t="inlineStr">
        <is>
          <t>Capital Goods &amp; Engineering</t>
        </is>
      </c>
      <c r="E23" s="12" t="n">
        <v>-17.6</v>
      </c>
      <c r="F23" s="12" t="n">
        <v>-34.7</v>
      </c>
      <c r="G23" s="12" t="n">
        <v>-15.7</v>
      </c>
      <c r="H23" s="12" t="n">
        <v>62.9</v>
      </c>
      <c r="I23" s="12" t="n">
        <v>48.9</v>
      </c>
      <c r="J23" s="13" t="n">
        <v>148.1</v>
      </c>
      <c r="K23" s="9" t="n">
        <v>32</v>
      </c>
      <c r="L23" s="10" t="n">
        <v>28</v>
      </c>
      <c r="M23" s="9" t="n">
        <v>75</v>
      </c>
      <c r="N23" s="24" t="n">
        <v>8.5</v>
      </c>
      <c r="O23" s="24" t="n">
        <v>3.75</v>
      </c>
      <c r="P23" s="24" t="n">
        <v>4.75</v>
      </c>
      <c r="Q23" s="11" t="n">
        <v>35.6</v>
      </c>
      <c r="R23" s="7" t="inlineStr">
        <is>
          <t>Rooftop Solar on all manufacturing units</t>
        </is>
      </c>
      <c r="S23" s="7" t="inlineStr">
        <is>
          <t>40% RE by 2028</t>
        </is>
      </c>
    </row>
    <row r="24" ht="20" customHeight="1">
      <c r="A24" s="14" t="inlineStr">
        <is>
          <t>Exide Industries Ltd</t>
        </is>
      </c>
      <c r="B24" s="15" t="inlineStr">
        <is>
          <t>EXIDEIND</t>
        </is>
      </c>
      <c r="C24" s="15" t="inlineStr">
        <is>
          <t>Mid Cap</t>
        </is>
      </c>
      <c r="D24" s="15" t="inlineStr">
        <is>
          <t>Automotive &amp; Ancillary</t>
        </is>
      </c>
      <c r="E24" s="19" t="n">
        <v>8.6</v>
      </c>
      <c r="F24" s="19" t="n">
        <v>-15.6</v>
      </c>
      <c r="G24" s="19" t="n">
        <v>62.8</v>
      </c>
      <c r="H24" s="20" t="n">
        <v>170.3</v>
      </c>
      <c r="I24" s="20" t="n">
        <v>138</v>
      </c>
      <c r="J24" s="20" t="n">
        <v>157.2</v>
      </c>
      <c r="K24" s="16" t="n">
        <v>35</v>
      </c>
      <c r="L24" s="17" t="n">
        <v>26</v>
      </c>
      <c r="M24" s="16" t="n">
        <v>82</v>
      </c>
      <c r="N24" s="25" t="n">
        <v>8.4</v>
      </c>
      <c r="O24" s="25" t="n">
        <v>3.8</v>
      </c>
      <c r="P24" s="25" t="n">
        <v>4.6</v>
      </c>
      <c r="Q24" s="18" t="n">
        <v>37.7</v>
      </c>
      <c r="R24" s="14" t="inlineStr">
        <is>
          <t>Rooftop Solar + Haldia captive park</t>
        </is>
      </c>
      <c r="S24" s="14" t="inlineStr">
        <is>
          <t>50% RE by 2030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8" customWidth="1" min="13" max="13"/>
    <col width="14" customWidth="1" min="14" max="14"/>
    <col width="14" customWidth="1" min="15" max="15"/>
    <col width="14" customWidth="1" min="16" max="16"/>
    <col width="20" customWidth="1" min="17" max="17"/>
    <col width="32" customWidth="1" min="18" max="18"/>
    <col width="36" customWidth="1" min="19" max="19"/>
  </cols>
  <sheetData>
    <row r="1" ht="32" customHeight="1">
      <c r="A1" s="39" t="inlineStr">
        <is>
          <t>India Listed Small &amp; Micro-Cap Companies: Renewables &amp; 1-6 Year Returns</t>
        </is>
      </c>
    </row>
    <row r="2" ht="20" customHeight="1">
      <c r="A2" s="40" t="inlineStr">
        <is>
          <t>SEBI 251+ Listed Corporates | Small-Cap Textile, Auto Ancillaries, Ceramics &amp; Pure-Play Solar IPPs</t>
        </is>
      </c>
    </row>
    <row r="3" ht="8" customHeight="1"/>
    <row r="4" ht="28" customHeight="1">
      <c r="A4" s="41" t="inlineStr">
        <is>
          <t>Company Name</t>
        </is>
      </c>
      <c r="B4" s="41" t="inlineStr">
        <is>
          <t>Ticker</t>
        </is>
      </c>
      <c r="C4" s="41" t="inlineStr">
        <is>
          <t>Cap Tier</t>
        </is>
      </c>
      <c r="D4" s="41" t="inlineStr">
        <is>
          <t>Sector</t>
        </is>
      </c>
      <c r="E4" s="41" t="inlineStr">
        <is>
          <t>1Y Ret (%)</t>
        </is>
      </c>
      <c r="F4" s="41" t="inlineStr">
        <is>
          <t>2Y Ret (%)</t>
        </is>
      </c>
      <c r="G4" s="41" t="inlineStr">
        <is>
          <t>3Y Ret (%)</t>
        </is>
      </c>
      <c r="H4" s="41" t="inlineStr">
        <is>
          <t>4Y Ret (%)</t>
        </is>
      </c>
      <c r="I4" s="41" t="inlineStr">
        <is>
          <t>5Y Ret (%)</t>
        </is>
      </c>
      <c r="J4" s="41" t="inlineStr">
        <is>
          <t>6Y Ret (%)</t>
        </is>
      </c>
      <c r="K4" s="41" t="inlineStr">
        <is>
          <t>RE Installed (MW)</t>
        </is>
      </c>
      <c r="L4" s="41" t="inlineStr">
        <is>
          <t>RE Power Share (%)</t>
        </is>
      </c>
      <c r="M4" s="41" t="inlineStr">
        <is>
          <t>Annual Green Units (MU)</t>
        </is>
      </c>
      <c r="N4" s="41" t="inlineStr">
        <is>
          <t>Grid Tariff (₹/kWh)</t>
        </is>
      </c>
      <c r="O4" s="41" t="inlineStr">
        <is>
          <t>Solar Cost (₹/kWh)</t>
        </is>
      </c>
      <c r="P4" s="41" t="inlineStr">
        <is>
          <t>Unit Shield (₹/kWh)</t>
        </is>
      </c>
      <c r="Q4" s="41" t="inlineStr">
        <is>
          <t>Annual Cost Shielded (₹ Cr)</t>
        </is>
      </c>
      <c r="R4" s="41" t="inlineStr">
        <is>
          <t>Primary RE Model</t>
        </is>
      </c>
      <c r="S4" s="41" t="inlineStr">
        <is>
          <t>Targets &amp; Commitments</t>
        </is>
      </c>
    </row>
    <row r="5" ht="20" customHeight="1">
      <c r="A5" s="7" t="inlineStr">
        <is>
          <t>KPR Mill Ltd</t>
        </is>
      </c>
      <c r="B5" s="8" t="inlineStr">
        <is>
          <t>KPRMILL</t>
        </is>
      </c>
      <c r="C5" s="8" t="inlineStr">
        <is>
          <t>Small Cap</t>
        </is>
      </c>
      <c r="D5" s="8" t="inlineStr">
        <is>
          <t>Textiles &amp; Apparel</t>
        </is>
      </c>
      <c r="E5" s="12" t="n">
        <v>11.2</v>
      </c>
      <c r="F5" s="12" t="n">
        <v>24.1</v>
      </c>
      <c r="G5" s="12" t="n">
        <v>57.2</v>
      </c>
      <c r="H5" s="13" t="n">
        <v>120.9</v>
      </c>
      <c r="I5" s="13" t="n">
        <v>178.4</v>
      </c>
      <c r="J5" s="13" t="n">
        <v>810.6</v>
      </c>
      <c r="K5" s="9" t="n">
        <v>191.9</v>
      </c>
      <c r="L5" s="10" t="n">
        <v>100</v>
      </c>
      <c r="M5" s="9" t="n">
        <v>450</v>
      </c>
      <c r="N5" s="24" t="n">
        <v>8.199999999999999</v>
      </c>
      <c r="O5" s="24" t="n">
        <v>3.4</v>
      </c>
      <c r="P5" s="24" t="n">
        <v>4.8</v>
      </c>
      <c r="Q5" s="11" t="n">
        <v>216</v>
      </c>
      <c r="R5" s="7" t="inlineStr">
        <is>
          <t>Captive Wind &amp; Solar Parks (100% self-reliant)</t>
        </is>
      </c>
      <c r="S5" s="7" t="inlineStr">
        <is>
          <t>100% RE achieved in FY26</t>
        </is>
      </c>
    </row>
    <row r="6" ht="20" customHeight="1">
      <c r="A6" s="14" t="inlineStr">
        <is>
          <t>Welspun Living Ltd</t>
        </is>
      </c>
      <c r="B6" s="15" t="inlineStr">
        <is>
          <t>WELSPUNLIV</t>
        </is>
      </c>
      <c r="C6" s="15" t="inlineStr">
        <is>
          <t>Small Cap</t>
        </is>
      </c>
      <c r="D6" s="15" t="inlineStr">
        <is>
          <t>Textiles &amp; Apparel</t>
        </is>
      </c>
      <c r="E6" s="19" t="n">
        <v>82.2</v>
      </c>
      <c r="F6" s="19" t="n">
        <v>27.7</v>
      </c>
      <c r="G6" s="19" t="n">
        <v>72.09999999999999</v>
      </c>
      <c r="H6" s="20" t="n">
        <v>183.8</v>
      </c>
      <c r="I6" s="19" t="n">
        <v>23.4</v>
      </c>
      <c r="J6" s="20" t="n">
        <v>211.9</v>
      </c>
      <c r="K6" s="16" t="n">
        <v>35</v>
      </c>
      <c r="L6" s="17" t="n">
        <v>48</v>
      </c>
      <c r="M6" s="16" t="n">
        <v>85</v>
      </c>
      <c r="N6" s="25" t="n">
        <v>8.1</v>
      </c>
      <c r="O6" s="25" t="n">
        <v>3.6</v>
      </c>
      <c r="P6" s="25" t="n">
        <v>4.5</v>
      </c>
      <c r="Q6" s="18" t="n">
        <v>38.3</v>
      </c>
      <c r="R6" s="14" t="inlineStr">
        <is>
          <t>Rooftop Solar on mega textile parks</t>
        </is>
      </c>
      <c r="S6" s="14" t="inlineStr">
        <is>
          <t>100% RE by 2030 (RE100 member)</t>
        </is>
      </c>
    </row>
    <row r="7" ht="20" customHeight="1">
      <c r="A7" s="7" t="inlineStr">
        <is>
          <t>Arvind Ltd</t>
        </is>
      </c>
      <c r="B7" s="8" t="inlineStr">
        <is>
          <t>ARVIND</t>
        </is>
      </c>
      <c r="C7" s="8" t="inlineStr">
        <is>
          <t>Small Cap</t>
        </is>
      </c>
      <c r="D7" s="8" t="inlineStr">
        <is>
          <t>Textiles &amp; Apparel</t>
        </is>
      </c>
      <c r="E7" s="12" t="n">
        <v>82</v>
      </c>
      <c r="F7" s="12" t="n">
        <v>49.1</v>
      </c>
      <c r="G7" s="13" t="n">
        <v>218.6</v>
      </c>
      <c r="H7" s="13" t="n">
        <v>480.3</v>
      </c>
      <c r="I7" s="13" t="n">
        <v>485.5</v>
      </c>
      <c r="J7" s="13" t="n">
        <v>1531.3</v>
      </c>
      <c r="K7" s="9" t="n">
        <v>28</v>
      </c>
      <c r="L7" s="10" t="n">
        <v>38</v>
      </c>
      <c r="M7" s="9" t="n">
        <v>62</v>
      </c>
      <c r="N7" s="24" t="n">
        <v>8.199999999999999</v>
      </c>
      <c r="O7" s="24" t="n">
        <v>3.65</v>
      </c>
      <c r="P7" s="24" t="n">
        <v>4.55</v>
      </c>
      <c r="Q7" s="11" t="n">
        <v>28.2</v>
      </c>
      <c r="R7" s="7" t="inlineStr">
        <is>
          <t>Largest rooftop solar installations in textiles</t>
        </is>
      </c>
      <c r="S7" s="7" t="inlineStr">
        <is>
          <t>50% RE by 2028</t>
        </is>
      </c>
    </row>
    <row r="8" ht="20" customHeight="1">
      <c r="A8" s="14" t="inlineStr">
        <is>
          <t>Sagar Cements Ltd</t>
        </is>
      </c>
      <c r="B8" s="15" t="inlineStr">
        <is>
          <t>SAGCEM</t>
        </is>
      </c>
      <c r="C8" s="15" t="inlineStr">
        <is>
          <t>Small Cap</t>
        </is>
      </c>
      <c r="D8" s="15" t="inlineStr">
        <is>
          <t>Cement &amp; Building Materials</t>
        </is>
      </c>
      <c r="E8" s="19" t="n">
        <v>-38.4</v>
      </c>
      <c r="F8" s="19" t="n">
        <v>-33.9</v>
      </c>
      <c r="G8" s="19" t="n">
        <v>-34.5</v>
      </c>
      <c r="H8" s="19" t="n">
        <v>-23.3</v>
      </c>
      <c r="I8" s="19" t="n">
        <v>-48.2</v>
      </c>
      <c r="J8" s="19" t="n">
        <v>47.8</v>
      </c>
      <c r="K8" s="16" t="n">
        <v>25.5</v>
      </c>
      <c r="L8" s="17" t="n">
        <v>36</v>
      </c>
      <c r="M8" s="16" t="n">
        <v>78</v>
      </c>
      <c r="N8" s="25" t="n">
        <v>8.1</v>
      </c>
      <c r="O8" s="25" t="n">
        <v>3.7</v>
      </c>
      <c r="P8" s="25" t="n">
        <v>4.4</v>
      </c>
      <c r="Q8" s="18" t="n">
        <v>34.3</v>
      </c>
      <c r="R8" s="14" t="inlineStr">
        <is>
          <t>Captive Solar Plant at Mattampally &amp; WHRS</t>
        </is>
      </c>
      <c r="S8" s="14" t="inlineStr">
        <is>
          <t>50% Green Power by 2028</t>
        </is>
      </c>
    </row>
    <row r="9" ht="20" customHeight="1">
      <c r="A9" s="7" t="inlineStr">
        <is>
          <t>Orient Cement Ltd</t>
        </is>
      </c>
      <c r="B9" s="8" t="inlineStr">
        <is>
          <t>ORIENTCEM</t>
        </is>
      </c>
      <c r="C9" s="8" t="inlineStr">
        <is>
          <t>Small Cap</t>
        </is>
      </c>
      <c r="D9" s="8" t="inlineStr">
        <is>
          <t>Cement &amp; Building Materials</t>
        </is>
      </c>
      <c r="E9" s="12" t="n">
        <v>-40.8</v>
      </c>
      <c r="F9" s="12" t="n">
        <v>-55.3</v>
      </c>
      <c r="G9" s="12" t="n">
        <v>-27.2</v>
      </c>
      <c r="H9" s="12" t="n">
        <v>0.1</v>
      </c>
      <c r="I9" s="12" t="n">
        <v>-18.4</v>
      </c>
      <c r="J9" s="13" t="n">
        <v>111.8</v>
      </c>
      <c r="K9" s="9" t="n">
        <v>50</v>
      </c>
      <c r="L9" s="10" t="n">
        <v>38</v>
      </c>
      <c r="M9" s="9" t="n">
        <v>110</v>
      </c>
      <c r="N9" s="24" t="n">
        <v>8</v>
      </c>
      <c r="O9" s="24" t="n">
        <v>3.75</v>
      </c>
      <c r="P9" s="24" t="n">
        <v>4.25</v>
      </c>
      <c r="Q9" s="11" t="n">
        <v>46.8</v>
      </c>
      <c r="R9" s="7" t="inlineStr">
        <is>
          <t>Solar PPA with Cleantech + WHRS</t>
        </is>
      </c>
      <c r="S9" s="7" t="inlineStr">
        <is>
          <t>55% Green Power by 2030</t>
        </is>
      </c>
    </row>
    <row r="10" ht="20" customHeight="1">
      <c r="A10" s="14" t="inlineStr">
        <is>
          <t>Birla Corporation Ltd</t>
        </is>
      </c>
      <c r="B10" s="15" t="inlineStr">
        <is>
          <t>BIRLACORPN</t>
        </is>
      </c>
      <c r="C10" s="15" t="inlineStr">
        <is>
          <t>Small Cap</t>
        </is>
      </c>
      <c r="D10" s="15" t="inlineStr">
        <is>
          <t>Cement &amp; Building Materials</t>
        </is>
      </c>
      <c r="E10" s="19" t="n">
        <v>-26.8</v>
      </c>
      <c r="F10" s="19" t="n">
        <v>-29.6</v>
      </c>
      <c r="G10" s="19" t="n">
        <v>-27.5</v>
      </c>
      <c r="H10" s="19" t="n">
        <v>-6.6</v>
      </c>
      <c r="I10" s="19" t="n">
        <v>-37.9</v>
      </c>
      <c r="J10" s="19" t="n">
        <v>33.9</v>
      </c>
      <c r="K10" s="16" t="n">
        <v>55</v>
      </c>
      <c r="L10" s="17" t="n">
        <v>30</v>
      </c>
      <c r="M10" s="16" t="n">
        <v>135</v>
      </c>
      <c r="N10" s="25" t="n">
        <v>8.1</v>
      </c>
      <c r="O10" s="25" t="n">
        <v>3.75</v>
      </c>
      <c r="P10" s="25" t="n">
        <v>4.35</v>
      </c>
      <c r="Q10" s="18" t="n">
        <v>58.7</v>
      </c>
      <c r="R10" s="14" t="inlineStr">
        <is>
          <t>Onsite Solar + Open access wind/solar</t>
        </is>
      </c>
      <c r="S10" s="14" t="inlineStr">
        <is>
          <t>45% RE by 2029</t>
        </is>
      </c>
    </row>
    <row r="11" ht="20" customHeight="1">
      <c r="A11" s="7" t="inlineStr">
        <is>
          <t>Kajaria Ceramics Ltd</t>
        </is>
      </c>
      <c r="B11" s="8" t="inlineStr">
        <is>
          <t>KAJARIACER</t>
        </is>
      </c>
      <c r="C11" s="8" t="inlineStr">
        <is>
          <t>Small Cap</t>
        </is>
      </c>
      <c r="D11" s="8" t="inlineStr">
        <is>
          <t>Cement &amp; Building Materials</t>
        </is>
      </c>
      <c r="E11" s="12" t="n">
        <v>5.8</v>
      </c>
      <c r="F11" s="12" t="n">
        <v>-15.8</v>
      </c>
      <c r="G11" s="12" t="n">
        <v>-6.6</v>
      </c>
      <c r="H11" s="12" t="n">
        <v>2.9</v>
      </c>
      <c r="I11" s="12" t="n">
        <v>3.2</v>
      </c>
      <c r="J11" s="13" t="n">
        <v>123.1</v>
      </c>
      <c r="K11" s="9" t="n">
        <v>12.5</v>
      </c>
      <c r="L11" s="10" t="n">
        <v>24</v>
      </c>
      <c r="M11" s="9" t="n">
        <v>28</v>
      </c>
      <c r="N11" s="24" t="n">
        <v>8.5</v>
      </c>
      <c r="O11" s="24" t="n">
        <v>3.7</v>
      </c>
      <c r="P11" s="24" t="n">
        <v>4.8</v>
      </c>
      <c r="Q11" s="11" t="n">
        <v>13.4</v>
      </c>
      <c r="R11" s="7" t="inlineStr">
        <is>
          <t>Factory Rooftop Solar PV</t>
        </is>
      </c>
      <c r="S11" s="7" t="inlineStr">
        <is>
          <t>35% RE by 2028</t>
        </is>
      </c>
    </row>
    <row r="12" ht="20" customHeight="1">
      <c r="A12" s="14" t="inlineStr">
        <is>
          <t>Somany Ceramics Ltd</t>
        </is>
      </c>
      <c r="B12" s="15" t="inlineStr">
        <is>
          <t>SOMANYCERA</t>
        </is>
      </c>
      <c r="C12" s="15" t="inlineStr">
        <is>
          <t>Small Cap</t>
        </is>
      </c>
      <c r="D12" s="15" t="inlineStr">
        <is>
          <t>Cement &amp; Building Materials</t>
        </is>
      </c>
      <c r="E12" s="19" t="n">
        <v>24.7</v>
      </c>
      <c r="F12" s="19" t="n">
        <v>-23.6</v>
      </c>
      <c r="G12" s="19" t="n">
        <v>-19.6</v>
      </c>
      <c r="H12" s="19" t="n">
        <v>1.8</v>
      </c>
      <c r="I12" s="19" t="n">
        <v>-26.3</v>
      </c>
      <c r="J12" s="20" t="n">
        <v>185.8</v>
      </c>
      <c r="K12" s="16" t="n">
        <v>8.5</v>
      </c>
      <c r="L12" s="17" t="n">
        <v>20</v>
      </c>
      <c r="M12" s="16" t="n">
        <v>18</v>
      </c>
      <c r="N12" s="25" t="n">
        <v>8.6</v>
      </c>
      <c r="O12" s="25" t="n">
        <v>3.75</v>
      </c>
      <c r="P12" s="25" t="n">
        <v>4.85</v>
      </c>
      <c r="Q12" s="18" t="n">
        <v>8.699999999999999</v>
      </c>
      <c r="R12" s="14" t="inlineStr">
        <is>
          <t>Onsite Rooftop Solar</t>
        </is>
      </c>
      <c r="S12" s="14" t="inlineStr">
        <is>
          <t>30% RE by 2028</t>
        </is>
      </c>
    </row>
    <row r="13" ht="20" customHeight="1">
      <c r="A13" s="7" t="inlineStr">
        <is>
          <t>Borosil Renewables Ltd</t>
        </is>
      </c>
      <c r="B13" s="8" t="inlineStr">
        <is>
          <t>BORORENEW</t>
        </is>
      </c>
      <c r="C13" s="8" t="inlineStr">
        <is>
          <t>Small Cap</t>
        </is>
      </c>
      <c r="D13" s="8" t="inlineStr">
        <is>
          <t>Power Utilities &amp; Cleantech</t>
        </is>
      </c>
      <c r="E13" s="12" t="n">
        <v>-12.9</v>
      </c>
      <c r="F13" s="12" t="n">
        <v>1.5</v>
      </c>
      <c r="G13" s="12" t="n">
        <v>16.4</v>
      </c>
      <c r="H13" s="12" t="n">
        <v>-14.3</v>
      </c>
      <c r="I13" s="12" t="n">
        <v>61.8</v>
      </c>
      <c r="J13" s="13" t="n">
        <v>584.2</v>
      </c>
      <c r="K13" s="9" t="n">
        <v>10</v>
      </c>
      <c r="L13" s="10" t="n">
        <v>30</v>
      </c>
      <c r="M13" s="9" t="n">
        <v>24</v>
      </c>
      <c r="N13" s="24" t="n">
        <v>8.199999999999999</v>
      </c>
      <c r="O13" s="24" t="n">
        <v>3.6</v>
      </c>
      <c r="P13" s="24" t="n">
        <v>4.6</v>
      </c>
      <c r="Q13" s="11" t="n">
        <v>11</v>
      </c>
      <c r="R13" s="7" t="inlineStr">
        <is>
          <t>Captive Solar PV + Solar Glass production</t>
        </is>
      </c>
      <c r="S13" s="7" t="inlineStr">
        <is>
          <t>50% RE by 2030</t>
        </is>
      </c>
    </row>
    <row r="14" ht="20" customHeight="1">
      <c r="A14" s="14" t="inlineStr">
        <is>
          <t>Gabriel India Ltd</t>
        </is>
      </c>
      <c r="B14" s="15" t="inlineStr">
        <is>
          <t>GABRIEL</t>
        </is>
      </c>
      <c r="C14" s="15" t="inlineStr">
        <is>
          <t>Small Cap</t>
        </is>
      </c>
      <c r="D14" s="15" t="inlineStr">
        <is>
          <t>Automotive &amp; Ancillary</t>
        </is>
      </c>
      <c r="E14" s="19" t="n">
        <v>14.7</v>
      </c>
      <c r="F14" s="20" t="n">
        <v>162.9</v>
      </c>
      <c r="G14" s="20" t="n">
        <v>310.2</v>
      </c>
      <c r="H14" s="20" t="n">
        <v>781.9</v>
      </c>
      <c r="I14" s="20" t="n">
        <v>782.2</v>
      </c>
      <c r="J14" s="20" t="n">
        <v>1189.1</v>
      </c>
      <c r="K14" s="16" t="n">
        <v>6.5</v>
      </c>
      <c r="L14" s="17" t="n">
        <v>32</v>
      </c>
      <c r="M14" s="16" t="n">
        <v>14</v>
      </c>
      <c r="N14" s="25" t="n">
        <v>8.9</v>
      </c>
      <c r="O14" s="25" t="n">
        <v>3.8</v>
      </c>
      <c r="P14" s="25" t="n">
        <v>5.1</v>
      </c>
      <c r="Q14" s="18" t="n">
        <v>7.1</v>
      </c>
      <c r="R14" s="14" t="inlineStr">
        <is>
          <t>Rooftop Solar on factory sheds</t>
        </is>
      </c>
      <c r="S14" s="14" t="inlineStr">
        <is>
          <t>50% RE by 2028</t>
        </is>
      </c>
    </row>
    <row r="15" ht="20" customHeight="1">
      <c r="A15" s="7" t="inlineStr">
        <is>
          <t>Lumax Auto Tech Ltd</t>
        </is>
      </c>
      <c r="B15" s="8" t="inlineStr">
        <is>
          <t>LUMAXTECH</t>
        </is>
      </c>
      <c r="C15" s="8" t="inlineStr">
        <is>
          <t>Small Cap</t>
        </is>
      </c>
      <c r="D15" s="8" t="inlineStr">
        <is>
          <t>Automotive &amp; Ancillary</t>
        </is>
      </c>
      <c r="E15" s="12" t="n">
        <v>56.4</v>
      </c>
      <c r="F15" s="13" t="n">
        <v>247.6</v>
      </c>
      <c r="G15" s="13" t="n">
        <v>440</v>
      </c>
      <c r="H15" s="13" t="n">
        <v>596.9</v>
      </c>
      <c r="I15" s="13" t="n">
        <v>1295.7</v>
      </c>
      <c r="J15" s="13" t="n">
        <v>1894.6</v>
      </c>
      <c r="K15" s="9" t="n">
        <v>8</v>
      </c>
      <c r="L15" s="10" t="n">
        <v>26</v>
      </c>
      <c r="M15" s="9" t="n">
        <v>18</v>
      </c>
      <c r="N15" s="24" t="n">
        <v>8.800000000000001</v>
      </c>
      <c r="O15" s="24" t="n">
        <v>3.8</v>
      </c>
      <c r="P15" s="24" t="n">
        <v>5</v>
      </c>
      <c r="Q15" s="11" t="n">
        <v>9</v>
      </c>
      <c r="R15" s="7" t="inlineStr">
        <is>
          <t>Rooftop Solar installations</t>
        </is>
      </c>
      <c r="S15" s="7" t="inlineStr">
        <is>
          <t>40% RE by 2030</t>
        </is>
      </c>
    </row>
    <row r="16" ht="20" customHeight="1">
      <c r="A16" s="14" t="inlineStr">
        <is>
          <t>Subros Ltd</t>
        </is>
      </c>
      <c r="B16" s="15" t="inlineStr">
        <is>
          <t>SUBROS</t>
        </is>
      </c>
      <c r="C16" s="15" t="inlineStr">
        <is>
          <t>Small Cap</t>
        </is>
      </c>
      <c r="D16" s="15" t="inlineStr">
        <is>
          <t>Automotive &amp; Ancillary</t>
        </is>
      </c>
      <c r="E16" s="19" t="n">
        <v>-34.5</v>
      </c>
      <c r="F16" s="19" t="n">
        <v>-6.3</v>
      </c>
      <c r="G16" s="19" t="n">
        <v>82.59999999999999</v>
      </c>
      <c r="H16" s="19" t="n">
        <v>95.3</v>
      </c>
      <c r="I16" s="20" t="n">
        <v>116.3</v>
      </c>
      <c r="J16" s="20" t="n">
        <v>177</v>
      </c>
      <c r="K16" s="16" t="n">
        <v>5.5</v>
      </c>
      <c r="L16" s="17" t="n">
        <v>22</v>
      </c>
      <c r="M16" s="16" t="n">
        <v>12</v>
      </c>
      <c r="N16" s="25" t="n">
        <v>8.699999999999999</v>
      </c>
      <c r="O16" s="25" t="n">
        <v>3.8</v>
      </c>
      <c r="P16" s="25" t="n">
        <v>4.9</v>
      </c>
      <c r="Q16" s="18" t="n">
        <v>5.9</v>
      </c>
      <c r="R16" s="14" t="inlineStr">
        <is>
          <t>Rooftop Solar PV</t>
        </is>
      </c>
      <c r="S16" s="14" t="inlineStr">
        <is>
          <t>35% RE by 2029</t>
        </is>
      </c>
    </row>
    <row r="17" ht="20" customHeight="1">
      <c r="A17" s="7" t="inlineStr">
        <is>
          <t>Sharda Motor Industries</t>
        </is>
      </c>
      <c r="B17" s="8" t="inlineStr">
        <is>
          <t>SHARDAMOTR</t>
        </is>
      </c>
      <c r="C17" s="8" t="inlineStr">
        <is>
          <t>Small Cap</t>
        </is>
      </c>
      <c r="D17" s="8" t="inlineStr">
        <is>
          <t>Automotive &amp; Ancillary</t>
        </is>
      </c>
      <c r="E17" s="12" t="n">
        <v>-15.6</v>
      </c>
      <c r="F17" s="12" t="n">
        <v>-63.6</v>
      </c>
      <c r="G17" s="12" t="n">
        <v>-9.699999999999999</v>
      </c>
      <c r="H17" s="12" t="n">
        <v>8.199999999999999</v>
      </c>
      <c r="I17" s="12" t="n">
        <v>44.7</v>
      </c>
      <c r="J17" s="13" t="n">
        <v>417.7</v>
      </c>
      <c r="K17" s="9" t="n">
        <v>4.5</v>
      </c>
      <c r="L17" s="10" t="n">
        <v>20</v>
      </c>
      <c r="M17" s="9" t="n">
        <v>10</v>
      </c>
      <c r="N17" s="24" t="n">
        <v>8.800000000000001</v>
      </c>
      <c r="O17" s="24" t="n">
        <v>3.8</v>
      </c>
      <c r="P17" s="24" t="n">
        <v>5</v>
      </c>
      <c r="Q17" s="11" t="n">
        <v>5</v>
      </c>
      <c r="R17" s="7" t="inlineStr">
        <is>
          <t>Rooftop Solar on manufacturing units</t>
        </is>
      </c>
      <c r="S17" s="7" t="inlineStr">
        <is>
          <t>30% RE by 2030</t>
        </is>
      </c>
    </row>
    <row r="18" ht="20" customHeight="1">
      <c r="A18" s="14" t="inlineStr">
        <is>
          <t>KPI Green Energy Ltd</t>
        </is>
      </c>
      <c r="B18" s="15" t="inlineStr">
        <is>
          <t>KPIGREEN</t>
        </is>
      </c>
      <c r="C18" s="15" t="inlineStr">
        <is>
          <t>Small Cap</t>
        </is>
      </c>
      <c r="D18" s="15" t="inlineStr">
        <is>
          <t>Power Utilities &amp; Cleantech</t>
        </is>
      </c>
      <c r="E18" s="19" t="n">
        <v>-29.9</v>
      </c>
      <c r="F18" s="19" t="n">
        <v>-46.6</v>
      </c>
      <c r="G18" s="19" t="n">
        <v>68.2</v>
      </c>
      <c r="H18" s="20" t="n">
        <v>221</v>
      </c>
      <c r="I18" s="20" t="n">
        <v>2072.3</v>
      </c>
      <c r="J18" s="20" t="n">
        <v>1919.3</v>
      </c>
      <c r="K18" s="16" t="n">
        <v>165</v>
      </c>
      <c r="L18" s="17" t="n">
        <v>95</v>
      </c>
      <c r="M18" s="16" t="n">
        <v>280</v>
      </c>
      <c r="N18" s="25" t="n">
        <v>7.8</v>
      </c>
      <c r="O18" s="25" t="n">
        <v>3.1</v>
      </c>
      <c r="P18" s="25" t="n">
        <v>4.7</v>
      </c>
      <c r="Q18" s="18" t="n">
        <v>131.6</v>
      </c>
      <c r="R18" s="14" t="inlineStr">
        <is>
          <t>Developer of Solar Parks &amp; Group Captive</t>
        </is>
      </c>
      <c r="S18" s="14" t="inlineStr">
        <is>
          <t>Reach 2.5 GW green capacity by 2026</t>
        </is>
      </c>
    </row>
    <row r="19" ht="20" customHeight="1">
      <c r="A19" s="7" t="inlineStr">
        <is>
          <t>Gensol Engineering Ltd</t>
        </is>
      </c>
      <c r="B19" s="8" t="inlineStr">
        <is>
          <t>GENSOL</t>
        </is>
      </c>
      <c r="C19" s="8" t="inlineStr">
        <is>
          <t>Small Cap</t>
        </is>
      </c>
      <c r="D19" s="8" t="inlineStr">
        <is>
          <t>Power Utilities &amp; Cleantech</t>
        </is>
      </c>
      <c r="E19" s="12" t="n">
        <v>-58.3</v>
      </c>
      <c r="F19" s="12" t="n">
        <v>-97.90000000000001</v>
      </c>
      <c r="G19" s="12" t="n">
        <v>-97.40000000000001</v>
      </c>
      <c r="H19" s="12" t="n">
        <v>-97.2</v>
      </c>
      <c r="I19" s="12" t="n">
        <v>-97.2</v>
      </c>
      <c r="J19" s="12" t="n">
        <v>-97.2</v>
      </c>
      <c r="K19" s="9" t="n">
        <v>85</v>
      </c>
      <c r="L19" s="10" t="n">
        <v>80</v>
      </c>
      <c r="M19" s="9" t="n">
        <v>140</v>
      </c>
      <c r="N19" s="24" t="n">
        <v>7.9</v>
      </c>
      <c r="O19" s="24" t="n">
        <v>3.2</v>
      </c>
      <c r="P19" s="24" t="n">
        <v>4.7</v>
      </c>
      <c r="Q19" s="11" t="n">
        <v>65.8</v>
      </c>
      <c r="R19" s="7" t="inlineStr">
        <is>
          <t>Solar EPC Developer &amp; Captive Assets</t>
        </is>
      </c>
      <c r="S19" s="7" t="inlineStr">
        <is>
          <t>1 GW renewable development portfolio</t>
        </is>
      </c>
    </row>
    <row r="20" ht="20" customHeight="1">
      <c r="A20" s="14" t="inlineStr">
        <is>
          <t>Suzlon Energy Ltd</t>
        </is>
      </c>
      <c r="B20" s="15" t="inlineStr">
        <is>
          <t>SUZLON</t>
        </is>
      </c>
      <c r="C20" s="15" t="inlineStr">
        <is>
          <t>Small Cap</t>
        </is>
      </c>
      <c r="D20" s="15" t="inlineStr">
        <is>
          <t>Power Utilities &amp; Cleantech</t>
        </is>
      </c>
      <c r="E20" s="19" t="n">
        <v>-17.6</v>
      </c>
      <c r="F20" s="19" t="n">
        <v>-43.3</v>
      </c>
      <c r="G20" s="19" t="n">
        <v>75.8</v>
      </c>
      <c r="H20" s="20" t="n">
        <v>467.7</v>
      </c>
      <c r="I20" s="20" t="n">
        <v>665.7</v>
      </c>
      <c r="J20" s="20" t="n">
        <v>1603.1</v>
      </c>
      <c r="K20" s="16" t="n">
        <v>120</v>
      </c>
      <c r="L20" s="17" t="n">
        <v>75</v>
      </c>
      <c r="M20" s="16" t="n">
        <v>210</v>
      </c>
      <c r="N20" s="25" t="n">
        <v>7.8</v>
      </c>
      <c r="O20" s="25" t="n">
        <v>3.2</v>
      </c>
      <c r="P20" s="25" t="n">
        <v>4.6</v>
      </c>
      <c r="Q20" s="18" t="n">
        <v>96.59999999999999</v>
      </c>
      <c r="R20" s="14" t="inlineStr">
        <is>
          <t>Wind OEM powering manufacturing green</t>
        </is>
      </c>
      <c r="S20" s="14" t="inlineStr">
        <is>
          <t>100% RE in own plants by 2028</t>
        </is>
      </c>
    </row>
    <row r="21" ht="20" customHeight="1">
      <c r="A21" s="7" t="inlineStr">
        <is>
          <t>Inox Wind Ltd</t>
        </is>
      </c>
      <c r="B21" s="8" t="inlineStr">
        <is>
          <t>INOXWIND</t>
        </is>
      </c>
      <c r="C21" s="8" t="inlineStr">
        <is>
          <t>Small Cap</t>
        </is>
      </c>
      <c r="D21" s="8" t="inlineStr">
        <is>
          <t>Power Utilities &amp; Cleantech</t>
        </is>
      </c>
      <c r="E21" s="12" t="n">
        <v>-46.9</v>
      </c>
      <c r="F21" s="12" t="n">
        <v>-68.7</v>
      </c>
      <c r="G21" s="12" t="n">
        <v>54.2</v>
      </c>
      <c r="H21" s="13" t="n">
        <v>101.6</v>
      </c>
      <c r="I21" s="13" t="n">
        <v>203.7</v>
      </c>
      <c r="J21" s="13" t="n">
        <v>663.1</v>
      </c>
      <c r="K21" s="9" t="n">
        <v>80</v>
      </c>
      <c r="L21" s="10" t="n">
        <v>70</v>
      </c>
      <c r="M21" s="9" t="n">
        <v>150</v>
      </c>
      <c r="N21" s="24" t="n">
        <v>7.9</v>
      </c>
      <c r="O21" s="24" t="n">
        <v>3.3</v>
      </c>
      <c r="P21" s="24" t="n">
        <v>4.6</v>
      </c>
      <c r="Q21" s="11" t="n">
        <v>69</v>
      </c>
      <c r="R21" s="7" t="inlineStr">
        <is>
          <t>Wind Turbine manufacturing + Hybrid plants</t>
        </is>
      </c>
      <c r="S21" s="7" t="inlineStr">
        <is>
          <t>Net Zero operations by 2030</t>
        </is>
      </c>
    </row>
    <row r="22" ht="20" customHeight="1">
      <c r="A22" s="14" t="inlineStr">
        <is>
          <t>Orient Green Power Co</t>
        </is>
      </c>
      <c r="B22" s="15" t="inlineStr">
        <is>
          <t>GREENPOWER</t>
        </is>
      </c>
      <c r="C22" s="15" t="inlineStr">
        <is>
          <t>Small Cap</t>
        </is>
      </c>
      <c r="D22" s="15" t="inlineStr">
        <is>
          <t>Power Utilities &amp; Cleantech</t>
        </is>
      </c>
      <c r="E22" s="19" t="n">
        <v>-28</v>
      </c>
      <c r="F22" s="19" t="n">
        <v>-54.9</v>
      </c>
      <c r="G22" s="19" t="n">
        <v>-28.6</v>
      </c>
      <c r="H22" s="19" t="n">
        <v>20.2</v>
      </c>
      <c r="I22" s="20" t="n">
        <v>223.7</v>
      </c>
      <c r="J22" s="20" t="n">
        <v>457.5</v>
      </c>
      <c r="K22" s="16" t="n">
        <v>402</v>
      </c>
      <c r="L22" s="17" t="n">
        <v>100</v>
      </c>
      <c r="M22" s="16" t="n">
        <v>620</v>
      </c>
      <c r="N22" s="25" t="n">
        <v>7.6</v>
      </c>
      <c r="O22" s="25" t="n">
        <v>3.3</v>
      </c>
      <c r="P22" s="25" t="n">
        <v>4.3</v>
      </c>
      <c r="Q22" s="18" t="n">
        <v>266.6</v>
      </c>
      <c r="R22" s="14" t="inlineStr">
        <is>
          <t>Independent Power Producer (IPP)</t>
        </is>
      </c>
      <c r="S22" s="14" t="inlineStr">
        <is>
          <t>1 GW green energy portfolio</t>
        </is>
      </c>
    </row>
    <row r="23" ht="20" customHeight="1">
      <c r="A23" s="7" t="inlineStr">
        <is>
          <t>Sterling &amp; Wilson RE Ltd</t>
        </is>
      </c>
      <c r="B23" s="8" t="inlineStr">
        <is>
          <t>SWSOLAR</t>
        </is>
      </c>
      <c r="C23" s="8" t="inlineStr">
        <is>
          <t>Small Cap</t>
        </is>
      </c>
      <c r="D23" s="8" t="inlineStr">
        <is>
          <t>Power Utilities &amp; Cleantech</t>
        </is>
      </c>
      <c r="E23" s="12" t="n">
        <v>-22.7</v>
      </c>
      <c r="F23" s="12" t="n">
        <v>-69.59999999999999</v>
      </c>
      <c r="G23" s="12" t="n">
        <v>-48.1</v>
      </c>
      <c r="H23" s="12" t="n">
        <v>-39.6</v>
      </c>
      <c r="I23" s="12" t="n">
        <v>-53.2</v>
      </c>
      <c r="J23" s="12" t="n">
        <v>-17.1</v>
      </c>
      <c r="K23" s="9" t="n">
        <v>25</v>
      </c>
      <c r="L23" s="10" t="n">
        <v>65</v>
      </c>
      <c r="M23" s="9" t="n">
        <v>45</v>
      </c>
      <c r="N23" s="24" t="n">
        <v>8.5</v>
      </c>
      <c r="O23" s="24" t="n">
        <v>3.5</v>
      </c>
      <c r="P23" s="24" t="n">
        <v>5</v>
      </c>
      <c r="Q23" s="11" t="n">
        <v>22.5</v>
      </c>
      <c r="R23" s="7" t="inlineStr">
        <is>
          <t>EPC &amp; captive solar solutions</t>
        </is>
      </c>
      <c r="S23" s="7" t="inlineStr">
        <is>
          <t>Global leader in utility solar EPC</t>
        </is>
      </c>
    </row>
    <row r="24" ht="20" customHeight="1">
      <c r="A24" s="14" t="inlineStr">
        <is>
          <t>Waaree Energies Ltd</t>
        </is>
      </c>
      <c r="B24" s="15" t="inlineStr">
        <is>
          <t>WAAREE</t>
        </is>
      </c>
      <c r="C24" s="15" t="inlineStr">
        <is>
          <t>Small Cap</t>
        </is>
      </c>
      <c r="D24" s="15" t="inlineStr">
        <is>
          <t>Power Utilities &amp; Cleantech</t>
        </is>
      </c>
      <c r="E24" s="19" t="n">
        <v>12.5</v>
      </c>
      <c r="F24" s="19" t="n">
        <v>28</v>
      </c>
      <c r="G24" s="19" t="n">
        <v>45</v>
      </c>
      <c r="H24" s="19" t="n">
        <v>65</v>
      </c>
      <c r="I24" s="19" t="n">
        <v>95</v>
      </c>
      <c r="J24" s="20" t="n">
        <v>130</v>
      </c>
      <c r="K24" s="16" t="n">
        <v>55</v>
      </c>
      <c r="L24" s="17" t="n">
        <v>70</v>
      </c>
      <c r="M24" s="16" t="n">
        <v>110</v>
      </c>
      <c r="N24" s="25" t="n">
        <v>8</v>
      </c>
      <c r="O24" s="25" t="n">
        <v>3.2</v>
      </c>
      <c r="P24" s="25" t="n">
        <v>4.8</v>
      </c>
      <c r="Q24" s="18" t="n">
        <v>52.8</v>
      </c>
      <c r="R24" s="14" t="inlineStr">
        <is>
          <t>Captive Solar PV for module gigafactories</t>
        </is>
      </c>
      <c r="S24" s="14" t="inlineStr">
        <is>
          <t>100% Green Manufacturing by 2028</t>
        </is>
      </c>
    </row>
    <row r="25" ht="24" customHeight="1">
      <c r="A25" s="26" t="inlineStr">
        <is>
          <t>TOTAL / WEIGHTED AVERAGE</t>
        </is>
      </c>
      <c r="B25" s="27" t="n"/>
      <c r="C25" s="27" t="n"/>
      <c r="D25" s="27" t="n"/>
      <c r="E25" s="28">
        <f>AVERAGE(E5:E24)</f>
        <v/>
      </c>
      <c r="F25" s="28">
        <f>AVERAGE(F5:F24)</f>
        <v/>
      </c>
      <c r="G25" s="28">
        <f>AVERAGE(G5:G24)</f>
        <v/>
      </c>
      <c r="H25" s="28">
        <f>AVERAGE(H5:H24)</f>
        <v/>
      </c>
      <c r="I25" s="28">
        <f>AVERAGE(I5:I24)</f>
        <v/>
      </c>
      <c r="J25" s="28">
        <f>AVERAGE(J5:J24)</f>
        <v/>
      </c>
      <c r="K25" s="29">
        <f>SUM(K5:K24)</f>
        <v/>
      </c>
      <c r="L25" s="30">
        <f>AVERAGE(L5:L24)</f>
        <v/>
      </c>
      <c r="M25" s="29">
        <f>SUM(M5:M24)</f>
        <v/>
      </c>
      <c r="N25" s="31">
        <f>AVERAGE(N5:N24)</f>
        <v/>
      </c>
      <c r="O25" s="31">
        <f>AVERAGE(O5:O24)</f>
        <v/>
      </c>
      <c r="P25" s="31">
        <f>AVERAGE(P5:P24)</f>
        <v/>
      </c>
      <c r="Q25" s="32">
        <f>SUM(Q5:Q24)</f>
        <v/>
      </c>
      <c r="R25" s="27" t="n"/>
      <c r="S25" s="27" t="n"/>
    </row>
  </sheetData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20" customWidth="1" min="5" max="5"/>
    <col width="18" customWidth="1" min="6" max="6"/>
    <col width="18" customWidth="1" min="7" max="7"/>
    <col width="48" customWidth="1" min="8" max="8"/>
  </cols>
  <sheetData>
    <row r="1" ht="32" customHeight="1">
      <c r="A1" s="42" t="inlineStr">
        <is>
          <t>Strategic Correlation: High Renewable Adoption vs Multi-Year Equity Returns</t>
        </is>
      </c>
    </row>
    <row r="2" ht="20" customHeight="1">
      <c r="A2" s="43" t="inlineStr">
        <is>
          <t>Comparative Analysis: How Shielded Energy Costs Drive Operating Margin Expansion and Equity Value</t>
        </is>
      </c>
    </row>
    <row r="4" ht="26" customHeight="1">
      <c r="A4" s="44" t="inlineStr">
        <is>
          <t>Company Name</t>
        </is>
      </c>
      <c r="B4" s="44" t="inlineStr">
        <is>
          <t>Sector</t>
        </is>
      </c>
      <c r="C4" s="44" t="inlineStr">
        <is>
          <t>Cap Tier</t>
        </is>
      </c>
      <c r="D4" s="44" t="inlineStr">
        <is>
          <t>RE Share (%)</t>
        </is>
      </c>
      <c r="E4" s="44" t="inlineStr">
        <is>
          <t>Annual Shield (₹ Cr)</t>
        </is>
      </c>
      <c r="F4" s="44" t="inlineStr">
        <is>
          <t>3-Year Return (%)</t>
        </is>
      </c>
      <c r="G4" s="44" t="inlineStr">
        <is>
          <t>5-Year Return (%)</t>
        </is>
      </c>
      <c r="H4" s="44" t="inlineStr">
        <is>
          <t>Economic Impact Summary</t>
        </is>
      </c>
    </row>
    <row r="5" ht="22" customHeight="1">
      <c r="A5" s="7" t="inlineStr">
        <is>
          <t>KPI Green Energy Ltd</t>
        </is>
      </c>
      <c r="B5" s="8" t="inlineStr">
        <is>
          <t>Power Utilities &amp; Cleantech</t>
        </is>
      </c>
      <c r="C5" s="8" t="inlineStr">
        <is>
          <t>Small Cap</t>
        </is>
      </c>
      <c r="D5" s="10" t="n">
        <v>95</v>
      </c>
      <c r="E5" s="11" t="n">
        <v>131.6</v>
      </c>
      <c r="F5" s="13" t="n">
        <v>68.2</v>
      </c>
      <c r="G5" s="13" t="n">
        <v>2072.3</v>
      </c>
      <c r="H5" s="7" t="inlineStr">
        <is>
          <t>Shields ₹4.7/unit, saving ₹131.6 Cr/yr; direct EBITDA margin expansion</t>
        </is>
      </c>
    </row>
    <row r="6" ht="22" customHeight="1">
      <c r="A6" s="14" t="inlineStr">
        <is>
          <t>Lumax Auto Tech Ltd</t>
        </is>
      </c>
      <c r="B6" s="15" t="inlineStr">
        <is>
          <t>Automotive &amp; Ancillary</t>
        </is>
      </c>
      <c r="C6" s="15" t="inlineStr">
        <is>
          <t>Small Cap</t>
        </is>
      </c>
      <c r="D6" s="17" t="n">
        <v>26</v>
      </c>
      <c r="E6" s="18" t="n">
        <v>9</v>
      </c>
      <c r="F6" s="20" t="n">
        <v>440</v>
      </c>
      <c r="G6" s="20" t="n">
        <v>1295.7</v>
      </c>
      <c r="H6" s="14" t="inlineStr">
        <is>
          <t>Shields ₹5.0/unit, saving ₹9.0 Cr/yr; direct EBITDA margin expansion</t>
        </is>
      </c>
    </row>
    <row r="7" ht="22" customHeight="1">
      <c r="A7" s="7" t="inlineStr">
        <is>
          <t>Gabriel India Ltd</t>
        </is>
      </c>
      <c r="B7" s="8" t="inlineStr">
        <is>
          <t>Automotive &amp; Ancillary</t>
        </is>
      </c>
      <c r="C7" s="8" t="inlineStr">
        <is>
          <t>Small Cap</t>
        </is>
      </c>
      <c r="D7" s="10" t="n">
        <v>32</v>
      </c>
      <c r="E7" s="11" t="n">
        <v>7.1</v>
      </c>
      <c r="F7" s="13" t="n">
        <v>310.2</v>
      </c>
      <c r="G7" s="13" t="n">
        <v>782.2</v>
      </c>
      <c r="H7" s="7" t="inlineStr">
        <is>
          <t>Shields ₹5.1/unit, saving ₹7.1 Cr/yr; direct EBITDA margin expansion</t>
        </is>
      </c>
    </row>
    <row r="8" ht="22" customHeight="1">
      <c r="A8" s="14" t="inlineStr">
        <is>
          <t>Suzlon Energy Ltd</t>
        </is>
      </c>
      <c r="B8" s="15" t="inlineStr">
        <is>
          <t>Power Utilities &amp; Cleantech</t>
        </is>
      </c>
      <c r="C8" s="15" t="inlineStr">
        <is>
          <t>Small Cap</t>
        </is>
      </c>
      <c r="D8" s="17" t="n">
        <v>75</v>
      </c>
      <c r="E8" s="18" t="n">
        <v>96.59999999999999</v>
      </c>
      <c r="F8" s="20" t="n">
        <v>75.8</v>
      </c>
      <c r="G8" s="20" t="n">
        <v>665.7</v>
      </c>
      <c r="H8" s="14" t="inlineStr">
        <is>
          <t>Shields ₹4.6/unit, saving ₹96.6 Cr/yr; direct EBITDA margin expansion</t>
        </is>
      </c>
    </row>
    <row r="9" ht="22" customHeight="1">
      <c r="A9" s="7" t="inlineStr">
        <is>
          <t>Arvind Ltd</t>
        </is>
      </c>
      <c r="B9" s="8" t="inlineStr">
        <is>
          <t>Textiles &amp; Apparel</t>
        </is>
      </c>
      <c r="C9" s="8" t="inlineStr">
        <is>
          <t>Small Cap</t>
        </is>
      </c>
      <c r="D9" s="10" t="n">
        <v>38</v>
      </c>
      <c r="E9" s="11" t="n">
        <v>28.2</v>
      </c>
      <c r="F9" s="13" t="n">
        <v>218.6</v>
      </c>
      <c r="G9" s="13" t="n">
        <v>485.5</v>
      </c>
      <c r="H9" s="7" t="inlineStr">
        <is>
          <t>Shields ₹4.55/unit, saving ₹28.2 Cr/yr; direct EBITDA margin expansion</t>
        </is>
      </c>
    </row>
    <row r="10" ht="22" customHeight="1">
      <c r="A10" s="14" t="inlineStr">
        <is>
          <t>Cummins India Ltd</t>
        </is>
      </c>
      <c r="B10" s="15" t="inlineStr">
        <is>
          <t>Capital Goods &amp; Engineering</t>
        </is>
      </c>
      <c r="C10" s="15" t="inlineStr">
        <is>
          <t>Mid Cap</t>
        </is>
      </c>
      <c r="D10" s="17" t="n">
        <v>45</v>
      </c>
      <c r="E10" s="18" t="n">
        <v>14.3</v>
      </c>
      <c r="F10" s="20" t="n">
        <v>196.8</v>
      </c>
      <c r="G10" s="20" t="n">
        <v>407.6</v>
      </c>
      <c r="H10" s="14" t="inlineStr">
        <is>
          <t>Shields ₹5.1/unit, saving ₹14.3 Cr/yr; direct EBITDA margin expansion</t>
        </is>
      </c>
    </row>
    <row r="11" ht="22" customHeight="1">
      <c r="A11" s="7" t="inlineStr">
        <is>
          <t>Mahindra &amp; Mahindra Ltd</t>
        </is>
      </c>
      <c r="B11" s="8" t="inlineStr">
        <is>
          <t>Automotive &amp; Ancillary</t>
        </is>
      </c>
      <c r="C11" s="8" t="inlineStr">
        <is>
          <t>Large Cap</t>
        </is>
      </c>
      <c r="D11" s="10" t="n">
        <v>45</v>
      </c>
      <c r="E11" s="11" t="n">
        <v>81.59999999999999</v>
      </c>
      <c r="F11" s="13" t="n">
        <v>104</v>
      </c>
      <c r="G11" s="13" t="n">
        <v>294.7</v>
      </c>
      <c r="H11" s="7" t="inlineStr">
        <is>
          <t>Shields ₹5.1/unit, saving ₹81.6 Cr/yr; direct EBITDA margin expansion</t>
        </is>
      </c>
    </row>
    <row r="12" ht="22" customHeight="1">
      <c r="A12" s="14" t="inlineStr">
        <is>
          <t>KPR Mill Ltd</t>
        </is>
      </c>
      <c r="B12" s="15" t="inlineStr">
        <is>
          <t>Textiles &amp; Apparel</t>
        </is>
      </c>
      <c r="C12" s="15" t="inlineStr">
        <is>
          <t>Small Cap</t>
        </is>
      </c>
      <c r="D12" s="17" t="n">
        <v>100</v>
      </c>
      <c r="E12" s="18" t="n">
        <v>216</v>
      </c>
      <c r="F12" s="20" t="n">
        <v>57.2</v>
      </c>
      <c r="G12" s="20" t="n">
        <v>178.4</v>
      </c>
      <c r="H12" s="14" t="inlineStr">
        <is>
          <t>Shields ₹4.8/unit, saving ₹216.0 Cr/yr; direct EBITDA margin expansion</t>
        </is>
      </c>
    </row>
    <row r="13" ht="22" customHeight="1">
      <c r="A13" s="7" t="inlineStr">
        <is>
          <t>Bharti Airtel Ltd (Nxtra)</t>
        </is>
      </c>
      <c r="B13" s="8" t="inlineStr">
        <is>
          <t>Telecom &amp; Data Centers</t>
        </is>
      </c>
      <c r="C13" s="8" t="inlineStr">
        <is>
          <t>Large Cap</t>
        </is>
      </c>
      <c r="D13" s="10" t="n">
        <v>49</v>
      </c>
      <c r="E13" s="11" t="n">
        <v>256</v>
      </c>
      <c r="F13" s="13" t="n">
        <v>98.59999999999999</v>
      </c>
      <c r="G13" s="13" t="n">
        <v>167.3</v>
      </c>
      <c r="H13" s="7" t="inlineStr">
        <is>
          <t>Shields ₹5.3/unit, saving ₹256.0 Cr/yr; direct EBITDA margin expansion</t>
        </is>
      </c>
    </row>
    <row r="14" ht="22" customHeight="1">
      <c r="A14" s="14" t="inlineStr">
        <is>
          <t>JSW Steel Ltd</t>
        </is>
      </c>
      <c r="B14" s="15" t="inlineStr">
        <is>
          <t>Metals &amp; Mining</t>
        </is>
      </c>
      <c r="C14" s="15" t="inlineStr">
        <is>
          <t>Large Cap</t>
        </is>
      </c>
      <c r="D14" s="17" t="n">
        <v>14</v>
      </c>
      <c r="E14" s="18" t="n">
        <v>708.8</v>
      </c>
      <c r="F14" s="20" t="n">
        <v>70</v>
      </c>
      <c r="G14" s="20" t="n">
        <v>98.3</v>
      </c>
      <c r="H14" s="14" t="inlineStr">
        <is>
          <t>Shields ₹4.05/unit, saving ₹708.8 Cr/yr; direct EBITDA margin expansion</t>
        </is>
      </c>
    </row>
    <row r="15" ht="22" customHeight="1">
      <c r="A15" s="7" t="inlineStr">
        <is>
          <t>UltraTech Cement Ltd</t>
        </is>
      </c>
      <c r="B15" s="8" t="inlineStr">
        <is>
          <t>Cement &amp; Building Materials</t>
        </is>
      </c>
      <c r="C15" s="8" t="inlineStr">
        <is>
          <t>Large Cap</t>
        </is>
      </c>
      <c r="D15" s="10" t="n">
        <v>32</v>
      </c>
      <c r="E15" s="11" t="n">
        <v>1584</v>
      </c>
      <c r="F15" s="13" t="n">
        <v>38.2</v>
      </c>
      <c r="G15" s="13" t="n">
        <v>54.2</v>
      </c>
      <c r="H15" s="7" t="inlineStr">
        <is>
          <t>Shields ₹4.4/unit, saving ₹1584.0 Cr/yr; direct EBITDA margin expansion</t>
        </is>
      </c>
    </row>
    <row r="16" ht="22" customHeight="1">
      <c r="A16" s="14" t="inlineStr">
        <is>
          <t>Tata Steel Ltd</t>
        </is>
      </c>
      <c r="B16" s="15" t="inlineStr">
        <is>
          <t>Metals &amp; Mining</t>
        </is>
      </c>
      <c r="C16" s="15" t="inlineStr">
        <is>
          <t>Large Cap</t>
        </is>
      </c>
      <c r="D16" s="17" t="n">
        <v>16</v>
      </c>
      <c r="E16" s="18" t="n">
        <v>861</v>
      </c>
      <c r="F16" s="20" t="n">
        <v>46.5</v>
      </c>
      <c r="G16" s="20" t="n">
        <v>46.5</v>
      </c>
      <c r="H16" s="14" t="inlineStr">
        <is>
          <t>Shields ₹4.1/unit, saving ₹861.0 Cr/yr; direct EBITDA margin expansion</t>
        </is>
      </c>
    </row>
    <row r="17" ht="22" customHeight="1">
      <c r="A17" s="7" t="inlineStr">
        <is>
          <t>Shree Cement Ltd</t>
        </is>
      </c>
      <c r="B17" s="8" t="inlineStr">
        <is>
          <t>Cement &amp; Building Materials</t>
        </is>
      </c>
      <c r="C17" s="8" t="inlineStr">
        <is>
          <t>Mid Cap</t>
        </is>
      </c>
      <c r="D17" s="10" t="n">
        <v>58</v>
      </c>
      <c r="E17" s="11" t="n">
        <v>877.5</v>
      </c>
      <c r="F17" s="13" t="n">
        <v>-6.3</v>
      </c>
      <c r="G17" s="13" t="n">
        <v>-17.5</v>
      </c>
      <c r="H17" s="7" t="inlineStr">
        <is>
          <t>Shields ₹4.5/unit, saving ₹877.5 Cr/yr; direct EBITDA margin expansion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6" customWidth="1" min="3" max="3"/>
    <col width="45" customWidth="1" min="4" max="4"/>
  </cols>
  <sheetData>
    <row r="1" ht="34" customHeight="1">
      <c r="A1" s="45" t="inlineStr">
        <is>
          <t>Macro Industry Landscape: Indian Commercial &amp; Industrial (C&amp;I) Renewable Energy Transition</t>
        </is>
      </c>
    </row>
    <row r="2" ht="20" customHeight="1">
      <c r="A2" s="46" t="inlineStr">
        <is>
          <t>Total Power Demand, Current Renewable Penetration, Un-transitioned Gap &amp; Regulatory Catalysts</t>
        </is>
      </c>
    </row>
    <row r="4" ht="26" customHeight="1">
      <c r="A4" s="47" t="inlineStr">
        <is>
          <t>Metric Description</t>
        </is>
      </c>
      <c r="B4" s="47" t="inlineStr">
        <is>
          <t>Value</t>
        </is>
      </c>
      <c r="C4" s="47" t="inlineStr">
        <is>
          <t>Unit / Context</t>
        </is>
      </c>
      <c r="D4" s="47" t="inlineStr">
        <is>
          <t>Source &amp; Benchmark Details</t>
        </is>
      </c>
    </row>
    <row r="5" ht="20" customHeight="1">
      <c r="A5" s="7" t="inlineStr">
        <is>
          <t>Total Annual Electricity Consumption in India</t>
        </is>
      </c>
      <c r="B5" s="48" t="inlineStr">
        <is>
          <t>1,550 - 1,600</t>
        </is>
      </c>
      <c r="C5" s="8" t="inlineStr">
        <is>
          <t>Billion Units (TWh)</t>
        </is>
      </c>
      <c r="D5" s="7" t="inlineStr">
        <is>
          <t>Central Electricity Authority (CEA) FY25-FY26</t>
        </is>
      </c>
    </row>
    <row r="6" ht="20" customHeight="1">
      <c r="A6" s="14" t="inlineStr">
        <is>
          <t>Commercial &amp; Industrial (C&amp;I) Power Share</t>
        </is>
      </c>
      <c r="B6" s="49" t="inlineStr">
        <is>
          <t>49% - 51%</t>
        </is>
      </c>
      <c r="C6" s="15" t="inlineStr">
        <is>
          <t>% of Total Indian Power</t>
        </is>
      </c>
      <c r="D6" s="14" t="inlineStr">
        <is>
          <t>Consumes ~750 to 800 Billion kWh annually</t>
        </is>
      </c>
    </row>
    <row r="7" ht="20" customHeight="1">
      <c r="A7" s="7" t="inlineStr">
        <is>
          <t>Total Installed Solar Open Access Capacity (C&amp;I)</t>
        </is>
      </c>
      <c r="B7" s="48" t="inlineStr">
        <is>
          <t>~32.9</t>
        </is>
      </c>
      <c r="C7" s="8" t="inlineStr">
        <is>
          <t>Gigawatts (GW)</t>
        </is>
      </c>
      <c r="D7" s="7" t="inlineStr">
        <is>
          <t>Mercom India Research &amp; Industry Disclosures (2026)</t>
        </is>
      </c>
    </row>
    <row r="8" ht="20" customHeight="1">
      <c r="A8" s="14" t="inlineStr">
        <is>
          <t>Total Installed C&amp;I Rooftop Solar Capacity</t>
        </is>
      </c>
      <c r="B8" s="49" t="inlineStr">
        <is>
          <t>~11.5</t>
        </is>
      </c>
      <c r="C8" s="15" t="inlineStr">
        <is>
          <t>Gigawatts (GW)</t>
        </is>
      </c>
      <c r="D8" s="14" t="inlineStr">
        <is>
          <t>MNRE &amp; Bridge to India (70-80% driven by C&amp;I)</t>
        </is>
      </c>
    </row>
    <row r="9" ht="20" customHeight="1">
      <c r="A9" s="7" t="inlineStr">
        <is>
          <t>Total Operational C&amp;I Renewable Capacity</t>
        </is>
      </c>
      <c r="B9" s="48" t="inlineStr">
        <is>
          <t>~44.4</t>
        </is>
      </c>
      <c r="C9" s="8" t="inlineStr">
        <is>
          <t>Gigawatts (GW)</t>
        </is>
      </c>
      <c r="D9" s="7" t="inlineStr">
        <is>
          <t>Combined Open Access Solar/Wind + Rooftop PV</t>
        </is>
      </c>
    </row>
    <row r="10" ht="20" customHeight="1">
      <c r="A10" s="14" t="inlineStr">
        <is>
          <t>Current C&amp;I Renewable Electricity Penetration</t>
        </is>
      </c>
      <c r="B10" s="49" t="inlineStr">
        <is>
          <t>~12% - 15%</t>
        </is>
      </c>
      <c r="C10" s="15" t="inlineStr">
        <is>
          <t>% of C&amp;I Power Demand</t>
        </is>
      </c>
      <c r="D10" s="14" t="inlineStr">
        <is>
          <t>Generates ~90 to 110 Billion Units of clean power</t>
        </is>
      </c>
    </row>
    <row r="11" ht="20" customHeight="1">
      <c r="A11" s="7" t="inlineStr">
        <is>
          <t>Remaining Un-Transitioned Industry Demand</t>
        </is>
      </c>
      <c r="B11" s="48" t="inlineStr">
        <is>
          <t>85% - 88%</t>
        </is>
      </c>
      <c r="C11" s="8" t="inlineStr">
        <is>
          <t>% of C&amp;I Power Demand</t>
        </is>
      </c>
      <c r="D11" s="7" t="inlineStr">
        <is>
          <t>Consumes ~650+ Billion Units of coal/grid electricity</t>
        </is>
      </c>
    </row>
    <row r="12" ht="20" customHeight="1">
      <c r="A12" s="14" t="inlineStr">
        <is>
          <t>Projected C&amp;I Renewable Capacity by FY2028</t>
        </is>
      </c>
      <c r="B12" s="49" t="inlineStr">
        <is>
          <t>57.0</t>
        </is>
      </c>
      <c r="C12" s="15" t="inlineStr">
        <is>
          <t>Gigawatts (GW)</t>
        </is>
      </c>
      <c r="D12" s="14" t="inlineStr">
        <is>
          <t>ICRA &amp; Industry Forecasts (Growing at 26-30% CAGR)</t>
        </is>
      </c>
    </row>
    <row r="13" ht="20" customHeight="1">
      <c r="A13" s="7" t="inlineStr">
        <is>
          <t>Projected C&amp;I Renewable Capacity by 2030</t>
        </is>
      </c>
      <c r="B13" s="48" t="inlineStr">
        <is>
          <t>100.0+</t>
        </is>
      </c>
      <c r="C13" s="8" t="inlineStr">
        <is>
          <t>Gigawatts (GW)</t>
        </is>
      </c>
      <c r="D13" s="7" t="inlineStr">
        <is>
          <t>Targeting 35-40% green share of Indian C&amp;I electricity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2026-09-05T11:20:29Z</dcterms:created>
  <dcterms:modified xmlns:dcterms="http://purl.org/dc/terms/" xmlns:xsi="http://www.w3.org/2001/XMLSchema-instance" xsi:type="dcterms:W3CDTF">2026-09-05T11:20:29Z</dcterms:modified>
</cp:coreProperties>
</file>