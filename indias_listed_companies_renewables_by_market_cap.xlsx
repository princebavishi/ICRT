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Large Cap Companies" sheetId="2" state="visible" r:id="rId2"/>
    <sheet xmlns:r="http://schemas.openxmlformats.org/officeDocument/2006/relationships" name="Mid Cap Companies" sheetId="3" state="visible" r:id="rId3"/>
    <sheet xmlns:r="http://schemas.openxmlformats.org/officeDocument/2006/relationships" name="Small &amp; Micro Cap Companies" sheetId="4" state="visible" r:id="rId4"/>
    <sheet xmlns:r="http://schemas.openxmlformats.org/officeDocument/2006/relationships" name="Industry Transition &amp; Mac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&quot;%&quot;"/>
    <numFmt numFmtId="166" formatCode="&quot;₹&quot;#,##0.00"/>
    <numFmt numFmtId="167" formatCode="&quot;₹&quot;#,##0.0&quot; Cr&quot;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E0E0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F4E78"/>
      <sz val="13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F0F4F8"/>
        <bgColor rgb="00F0F4F8"/>
      </patternFill>
    </fill>
    <fill>
      <patternFill patternType="solid">
        <fgColor rgb="0016817A"/>
        <bgColor rgb="0016817A"/>
      </patternFill>
    </fill>
    <fill>
      <patternFill patternType="solid">
        <fgColor rgb="002D6A4F"/>
        <bgColor rgb="002D6A4F"/>
      </patternFill>
    </fill>
    <fill>
      <patternFill patternType="solid">
        <fgColor rgb="001F4E78"/>
        <bgColor rgb="001F4E78"/>
      </patternFill>
    </fill>
    <fill>
      <patternFill patternType="solid">
        <fgColor rgb="00E8F5E9"/>
        <bgColor rgb="00E8F5E9"/>
      </patternFill>
    </fill>
    <fill>
      <patternFill patternType="solid">
        <fgColor rgb="004A154B"/>
        <bgColor rgb="004A154B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166" fontId="4" fillId="4" borderId="2" applyAlignment="1" pivotButton="0" quotePrefix="0" xfId="0">
      <alignment horizontal="right" vertical="center"/>
    </xf>
    <xf numFmtId="167" fontId="5" fillId="4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164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166" fontId="4" fillId="3" borderId="2" applyAlignment="1" pivotButton="0" quotePrefix="0" xfId="0">
      <alignment horizontal="right" vertical="center"/>
    </xf>
    <xf numFmtId="167" fontId="5" fillId="3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1" fillId="6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22" customWidth="1" min="4" max="4"/>
    <col width="24" customWidth="1" min="5" max="5"/>
    <col width="22" customWidth="1" min="6" max="6"/>
    <col width="22" customWidth="1" min="7" max="7"/>
    <col width="28" customWidth="1" min="8" max="8"/>
  </cols>
  <sheetData>
    <row r="1" ht="36" customHeight="1">
      <c r="A1" s="1" t="inlineStr">
        <is>
          <t>India Listed Companies: Corporate Renewable Adoption &amp; Cost Shield Master Summary</t>
        </is>
      </c>
    </row>
    <row r="2" ht="22" customHeight="1">
      <c r="A2" s="2" t="inlineStr">
        <is>
          <t>Comprehensive Multi-Tier Analysis: Large Cap, Mid Cap &amp; Small Cap Segments</t>
        </is>
      </c>
    </row>
    <row r="4" ht="32" customHeight="1">
      <c r="A4" s="3" t="inlineStr">
        <is>
          <t>Total Companies Analyzed
60 Listed Companies
(Across Large, Mid &amp; Small Cap tiers)</t>
        </is>
      </c>
      <c r="C4" s="3" t="inlineStr">
        <is>
          <t>Total Green Capacity Analyzed
17,500+ MW (17.5 GW)
(Captive Solar, Wind, Hybrid &amp; WHRS)</t>
        </is>
      </c>
      <c r="E4" s="3" t="inlineStr">
        <is>
          <t>Annual Green Units Consumed
31,000+ Million kWh (MU)
(Displacing Coal-Fired Grid Power)</t>
        </is>
      </c>
      <c r="G4" s="4" t="inlineStr">
        <is>
          <t>Total Annual Cost Shielded
₹13,500+ Crore / Year
(Net Savings vs DISCOM Industrial Tariffs)</t>
        </is>
      </c>
    </row>
    <row r="5" ht="32" customHeight="1"/>
    <row r="7" ht="26" customHeight="1">
      <c r="A7" s="5" t="inlineStr">
        <is>
          <t>Market Cap Segment</t>
        </is>
      </c>
      <c r="B7" s="5" t="inlineStr">
        <is>
          <t>Number of Companies</t>
        </is>
      </c>
      <c r="C7" s="5" t="inlineStr">
        <is>
          <t>Total Green Capacity (MW)</t>
        </is>
      </c>
      <c r="D7" s="5" t="inlineStr">
        <is>
          <t>Average RE Share (%)</t>
        </is>
      </c>
      <c r="E7" s="5" t="inlineStr">
        <is>
          <t>Total Green Units (MU)</t>
        </is>
      </c>
      <c r="F7" s="5" t="inlineStr">
        <is>
          <t>Avg. Grid Tariff (₹/kWh)</t>
        </is>
      </c>
      <c r="G7" s="5" t="inlineStr">
        <is>
          <t>Avg. Solar Cost (₹/kWh)</t>
        </is>
      </c>
      <c r="H7" s="5" t="inlineStr">
        <is>
          <t>Total Annual Cost Shielded (₹ Cr)</t>
        </is>
      </c>
    </row>
    <row r="8" ht="24" customHeight="1">
      <c r="A8" s="6" t="inlineStr">
        <is>
          <t>Large Cap (Top 100)</t>
        </is>
      </c>
      <c r="B8" s="7" t="n">
        <v>20</v>
      </c>
      <c r="C8" s="8">
        <f>'Large Cap Companies'!D25</f>
        <v/>
      </c>
      <c r="D8" s="9">
        <f>'Large Cap Companies'!F25</f>
        <v/>
      </c>
      <c r="E8" s="8">
        <f>'Large Cap Companies'!G25</f>
        <v/>
      </c>
      <c r="F8" s="10">
        <f>'Large Cap Companies'!H25</f>
        <v/>
      </c>
      <c r="G8" s="10">
        <f>'Large Cap Companies'!I25</f>
        <v/>
      </c>
      <c r="H8" s="11">
        <f>'Large Cap Companies'!K25</f>
        <v/>
      </c>
    </row>
    <row r="9" ht="24" customHeight="1">
      <c r="A9" s="12" t="inlineStr">
        <is>
          <t>Mid Cap (101-250)</t>
        </is>
      </c>
      <c r="B9" s="13" t="n">
        <v>20</v>
      </c>
      <c r="C9" s="14">
        <f>'Mid Cap Companies'!D25</f>
        <v/>
      </c>
      <c r="D9" s="15">
        <f>'Mid Cap Companies'!F25</f>
        <v/>
      </c>
      <c r="E9" s="14">
        <f>'Mid Cap Companies'!G25</f>
        <v/>
      </c>
      <c r="F9" s="16">
        <f>'Mid Cap Companies'!H25</f>
        <v/>
      </c>
      <c r="G9" s="16">
        <f>'Mid Cap Companies'!I25</f>
        <v/>
      </c>
      <c r="H9" s="17">
        <f>'Mid Cap Companies'!K25</f>
        <v/>
      </c>
    </row>
    <row r="10" ht="24" customHeight="1">
      <c r="A10" s="6" t="inlineStr">
        <is>
          <t>Small &amp; Micro Cap (251+)</t>
        </is>
      </c>
      <c r="B10" s="7" t="n">
        <v>20</v>
      </c>
      <c r="C10" s="8">
        <f>'Small &amp; Micro Cap Companies'!D25</f>
        <v/>
      </c>
      <c r="D10" s="9">
        <f>'Small &amp; Micro Cap Companies'!F25</f>
        <v/>
      </c>
      <c r="E10" s="8">
        <f>'Small &amp; Micro Cap Companies'!G25</f>
        <v/>
      </c>
      <c r="F10" s="10">
        <f>'Small &amp; Micro Cap Companies'!H25</f>
        <v/>
      </c>
      <c r="G10" s="10">
        <f>'Small &amp; Micro Cap Companies'!I25</f>
        <v/>
      </c>
      <c r="H10" s="11">
        <f>'Small &amp; Micro Cap Companies'!K25</f>
        <v/>
      </c>
    </row>
    <row r="11" ht="26" customHeight="1">
      <c r="A11" s="18" t="inlineStr">
        <is>
          <t>GRAND TOTAL / OVERALL AVERAGE</t>
        </is>
      </c>
      <c r="B11" s="19">
        <f>SUM(B8:B10)</f>
        <v/>
      </c>
      <c r="C11" s="20">
        <f>SUM(C8:C10)</f>
        <v/>
      </c>
      <c r="D11" s="21">
        <f>AVERAGE(D8:D10)</f>
        <v/>
      </c>
      <c r="E11" s="20">
        <f>SUM(E8:E10)</f>
        <v/>
      </c>
      <c r="F11" s="22">
        <f>AVERAGE(F8:F10)</f>
        <v/>
      </c>
      <c r="G11" s="22">
        <f>AVERAGE(G8:G10)</f>
        <v/>
      </c>
      <c r="H11" s="23">
        <f>SUM(H8:H10)</f>
        <v/>
      </c>
    </row>
    <row r="13">
      <c r="A13" s="24" t="inlineStr">
        <is>
          <t>KEY STRATEGIC &amp; ECONOMIC TAKEAWAYS</t>
        </is>
      </c>
    </row>
    <row r="14" ht="20" customHeight="1">
      <c r="A14" s="25" t="inlineStr">
        <is>
          <t>1. Heavy Industry Leadership: Cement and Steel manufacturers lead total MW installations (UltraTech 1,363 MW, Tata Steel 1,036 MW, Shree Cement 666.5 MW) due to round-the-clock power needs and CBAM export decarbonization mandates.</t>
        </is>
      </c>
    </row>
    <row r="15" ht="20" customHeight="1">
      <c r="A15" s="25" t="inlineStr">
        <is>
          <t>2. Small Cap Margin Transformation: Small caps in textiles (KPR Mill 192 MW - 100% RE) and auto ancillaries achieve massive operational margin expansion by lowering their effective cost of power from ~₹8.50/kWh to ~₹3.50/kWh.</t>
        </is>
      </c>
    </row>
    <row r="16" ht="20" customHeight="1">
      <c r="A16" s="25" t="inlineStr">
        <is>
          <t>3. Enormous Shielded Savings: Across the 60 analyzed companies alone, solar and green energy shields over ₹13,500 Crore annually from utility DISCOM electricity bills.</t>
        </is>
      </c>
    </row>
    <row r="17" ht="20" customHeight="1">
      <c r="A17" s="25" t="inlineStr">
        <is>
          <t>4. The 85% Industry Opportunity: Indian C&amp;I consumes ~750-800 Billion kWh annually, but only ~14% is currently green. The remaining ~86% un-transitioned demand represents a &gt;100 GW market opportunity by 2030.</t>
        </is>
      </c>
    </row>
  </sheetData>
  <mergeCells count="11">
    <mergeCell ref="C4:D5"/>
    <mergeCell ref="A4:B5"/>
    <mergeCell ref="G4:H5"/>
    <mergeCell ref="E4:F5"/>
    <mergeCell ref="A15:H15"/>
    <mergeCell ref="A2:H2"/>
    <mergeCell ref="A16:H16"/>
    <mergeCell ref="A13:H13"/>
    <mergeCell ref="A14:H14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6" customWidth="1" min="3" max="3"/>
    <col width="18" customWidth="1" min="4" max="4"/>
    <col width="38" customWidth="1" min="5" max="5"/>
    <col width="16" customWidth="1" min="6" max="6"/>
    <col width="20" customWidth="1" min="7" max="7"/>
    <col width="16" customWidth="1" min="8" max="8"/>
    <col width="16" customWidth="1" min="9" max="9"/>
    <col width="20" customWidth="1" min="10" max="10"/>
    <col width="22" customWidth="1" min="11" max="11"/>
    <col width="38" customWidth="1" min="12" max="12"/>
    <col width="42" customWidth="1" min="13" max="13"/>
  </cols>
  <sheetData>
    <row r="1" ht="35" customHeight="1">
      <c r="A1" s="26" t="inlineStr">
        <is>
          <t>India Top Listed Large-Cap Companies: Renewable Energy Portfolio &amp; Shielded Costs</t>
        </is>
      </c>
    </row>
    <row r="2" ht="22" customHeight="1">
      <c r="A2" s="27" t="inlineStr">
        <is>
          <t>SEBI Top 100 Listed Corporates | Audited BRSR FY24-FY26 Disclosures &amp; Annual Reports</t>
        </is>
      </c>
    </row>
    <row r="3" ht="10" customHeight="1"/>
    <row r="4" ht="28" customHeight="1">
      <c r="A4" s="28" t="inlineStr">
        <is>
          <t>Company Name</t>
        </is>
      </c>
      <c r="B4" s="28" t="inlineStr">
        <is>
          <t>Ticker</t>
        </is>
      </c>
      <c r="C4" s="28" t="inlineStr">
        <is>
          <t>Sector / Industry</t>
        </is>
      </c>
      <c r="D4" s="28" t="inlineStr">
        <is>
          <t>Installed / Contracted RE (MW)</t>
        </is>
      </c>
      <c r="E4" s="28" t="inlineStr">
        <is>
          <t>Solar / Wind / Green Tech Details</t>
        </is>
      </c>
      <c r="F4" s="28" t="inlineStr">
        <is>
          <t>RE Electricity Share (%)</t>
        </is>
      </c>
      <c r="G4" s="28" t="inlineStr">
        <is>
          <t>Annual Green Units (MU / MWh M)</t>
        </is>
      </c>
      <c r="H4" s="28" t="inlineStr">
        <is>
          <t>Avg. Grid Tariff (₹/kWh)</t>
        </is>
      </c>
      <c r="I4" s="28" t="inlineStr">
        <is>
          <t>Green Landed Cost (₹/kWh)</t>
        </is>
      </c>
      <c r="J4" s="28" t="inlineStr">
        <is>
          <t>Cost Shielded / Unit Saved (₹/kWh)</t>
        </is>
      </c>
      <c r="K4" s="28" t="inlineStr">
        <is>
          <t>Est. Annual Cost Shielded (₹ Crore)</t>
        </is>
      </c>
      <c r="L4" s="28" t="inlineStr">
        <is>
          <t>Primary Sourcing Model</t>
        </is>
      </c>
      <c r="M4" s="28" t="inlineStr">
        <is>
          <t>Key Targets / Commitments</t>
        </is>
      </c>
    </row>
    <row r="5" ht="22" customHeight="1">
      <c r="A5" s="12" t="inlineStr">
        <is>
          <t>UltraTech Cement Ltd</t>
        </is>
      </c>
      <c r="B5" s="13" t="inlineStr">
        <is>
          <t>ULTRACEMCO</t>
        </is>
      </c>
      <c r="C5" s="13" t="inlineStr">
        <is>
          <t>Cement &amp; Materials</t>
        </is>
      </c>
      <c r="D5" s="14" t="n">
        <v>1363</v>
      </c>
      <c r="E5" s="12" t="inlineStr">
        <is>
          <t>1,021 MW Solar/Wind + 342 MW WHRS</t>
        </is>
      </c>
      <c r="F5" s="15" t="n">
        <v>32</v>
      </c>
      <c r="G5" s="14" t="n">
        <v>3600</v>
      </c>
      <c r="H5" s="16" t="n">
        <v>8.199999999999999</v>
      </c>
      <c r="I5" s="16" t="n">
        <v>3.8</v>
      </c>
      <c r="J5" s="16" t="n">
        <v>4.4</v>
      </c>
      <c r="K5" s="17" t="n">
        <v>1584</v>
      </c>
      <c r="L5" s="12" t="inlineStr">
        <is>
          <t>Group Captive Solar/Wind + WHRS</t>
        </is>
      </c>
      <c r="M5" s="12" t="inlineStr">
        <is>
          <t>85% Green by 2030, RE100 (100% by 2050)</t>
        </is>
      </c>
    </row>
    <row r="6" ht="22" customHeight="1">
      <c r="A6" s="6" t="inlineStr">
        <is>
          <t>Reliance Industries Ltd</t>
        </is>
      </c>
      <c r="B6" s="7" t="inlineStr">
        <is>
          <t>RELIANCE</t>
        </is>
      </c>
      <c r="C6" s="7" t="inlineStr">
        <is>
          <t>Conglomerate / Energy &amp; Telecom</t>
        </is>
      </c>
      <c r="D6" s="8" t="n">
        <v>247</v>
      </c>
      <c r="E6" s="6" t="inlineStr">
        <is>
          <t>247 MWp captive PV + Kutch/Jamnagar Hubs</t>
        </is>
      </c>
      <c r="F6" s="9" t="n">
        <v>10</v>
      </c>
      <c r="G6" s="8" t="n">
        <v>1200</v>
      </c>
      <c r="H6" s="10" t="n">
        <v>7.8</v>
      </c>
      <c r="I6" s="10" t="n">
        <v>3.4</v>
      </c>
      <c r="J6" s="10" t="n">
        <v>4.4</v>
      </c>
      <c r="K6" s="11" t="n">
        <v>528</v>
      </c>
      <c r="L6" s="6" t="inlineStr">
        <is>
          <t>Captive Mega-Hubs + 28k Tower Solar</t>
        </is>
      </c>
      <c r="M6" s="6" t="inlineStr">
        <is>
          <t>100 GW RE by 2030, Net Zero 2035</t>
        </is>
      </c>
    </row>
    <row r="7" ht="22" customHeight="1">
      <c r="A7" s="12" t="inlineStr">
        <is>
          <t>Tata Steel Ltd</t>
        </is>
      </c>
      <c r="B7" s="13" t="inlineStr">
        <is>
          <t>TATASTEEL</t>
        </is>
      </c>
      <c r="C7" s="13" t="inlineStr">
        <is>
          <t>Steel &amp; Metals</t>
        </is>
      </c>
      <c r="D7" s="14" t="n">
        <v>1036</v>
      </c>
      <c r="E7" s="12" t="inlineStr">
        <is>
          <t>451.5 MW Solar + 587 MW Wind (TPREL)</t>
        </is>
      </c>
      <c r="F7" s="15" t="n">
        <v>16</v>
      </c>
      <c r="G7" s="14" t="n">
        <v>2100</v>
      </c>
      <c r="H7" s="16" t="n">
        <v>8</v>
      </c>
      <c r="I7" s="16" t="n">
        <v>3.9</v>
      </c>
      <c r="J7" s="16" t="n">
        <v>4.1</v>
      </c>
      <c r="K7" s="17" t="n">
        <v>861</v>
      </c>
      <c r="L7" s="12" t="inlineStr">
        <is>
          <t>Group Captive PPA with TPREL</t>
        </is>
      </c>
      <c r="M7" s="12" t="inlineStr">
        <is>
          <t>50% Green by 2030, Net Zero 2045</t>
        </is>
      </c>
    </row>
    <row r="8" ht="22" customHeight="1">
      <c r="A8" s="6" t="inlineStr">
        <is>
          <t>JSW Steel Ltd</t>
        </is>
      </c>
      <c r="B8" s="7" t="inlineStr">
        <is>
          <t>JSWSTEEL</t>
        </is>
      </c>
      <c r="C8" s="7" t="inlineStr">
        <is>
          <t>Steel &amp; Metals</t>
        </is>
      </c>
      <c r="D8" s="8" t="n">
        <v>782</v>
      </c>
      <c r="E8" s="6" t="inlineStr">
        <is>
          <t>782 MW Solar &amp; Wind (Vijayanagar/Salem)</t>
        </is>
      </c>
      <c r="F8" s="9" t="n">
        <v>14</v>
      </c>
      <c r="G8" s="8" t="n">
        <v>1750</v>
      </c>
      <c r="H8" s="10" t="n">
        <v>7.9</v>
      </c>
      <c r="I8" s="10" t="n">
        <v>3.85</v>
      </c>
      <c r="J8" s="10" t="n">
        <v>4.05</v>
      </c>
      <c r="K8" s="11" t="n">
        <v>708.8</v>
      </c>
      <c r="L8" s="6" t="inlineStr">
        <is>
          <t>Group Captive PPA with JSW Energy</t>
        </is>
      </c>
      <c r="M8" s="6" t="inlineStr">
        <is>
          <t>1,000 MW Phase 1 + 1,500 MW Ph 2, Net Zero 2050</t>
        </is>
      </c>
    </row>
    <row r="9" ht="22" customHeight="1">
      <c r="A9" s="12" t="inlineStr">
        <is>
          <t>Infosys Ltd</t>
        </is>
      </c>
      <c r="B9" s="13" t="inlineStr">
        <is>
          <t>INFY</t>
        </is>
      </c>
      <c r="C9" s="13" t="inlineStr">
        <is>
          <t>IT &amp; Software Services</t>
        </is>
      </c>
      <c r="D9" s="14" t="n">
        <v>60</v>
      </c>
      <c r="E9" s="12" t="inlineStr">
        <is>
          <t>60 MW onsite &amp; offsite solar PV</t>
        </is>
      </c>
      <c r="F9" s="15" t="n">
        <v>77.7</v>
      </c>
      <c r="G9" s="14" t="n">
        <v>285</v>
      </c>
      <c r="H9" s="16" t="n">
        <v>9.199999999999999</v>
      </c>
      <c r="I9" s="16" t="n">
        <v>3.5</v>
      </c>
      <c r="J9" s="16" t="n">
        <v>5.7</v>
      </c>
      <c r="K9" s="17" t="n">
        <v>162.5</v>
      </c>
      <c r="L9" s="12" t="inlineStr">
        <is>
          <t>Campus Rooftop PV + Green Tariffs</t>
        </is>
      </c>
      <c r="M9" s="12" t="inlineStr">
        <is>
          <t>RE100 Signatory, 100% RE electricity target</t>
        </is>
      </c>
    </row>
    <row r="10" ht="22" customHeight="1">
      <c r="A10" s="6" t="inlineStr">
        <is>
          <t>Bharti Airtel Ltd (Nxtra)</t>
        </is>
      </c>
      <c r="B10" s="7" t="inlineStr">
        <is>
          <t>BHARTIARTL</t>
        </is>
      </c>
      <c r="C10" s="7" t="inlineStr">
        <is>
          <t>Telecom &amp; Data Centers</t>
        </is>
      </c>
      <c r="D10" s="8" t="n">
        <v>120</v>
      </c>
      <c r="E10" s="6" t="inlineStr">
        <is>
          <t>482.8k MWh PPA + 28,000 solar towers</t>
        </is>
      </c>
      <c r="F10" s="9" t="n">
        <v>49</v>
      </c>
      <c r="G10" s="8" t="n">
        <v>483</v>
      </c>
      <c r="H10" s="10" t="n">
        <v>9.5</v>
      </c>
      <c r="I10" s="10" t="n">
        <v>4.2</v>
      </c>
      <c r="J10" s="10" t="n">
        <v>5.3</v>
      </c>
      <c r="K10" s="11" t="n">
        <v>256</v>
      </c>
      <c r="L10" s="6" t="inlineStr">
        <is>
          <t>Open Access Solar/Wind + Distributed Rooftop</t>
        </is>
      </c>
      <c r="M10" s="6" t="inlineStr">
        <is>
          <t>RE100 (100% RE in Nxtra Data Centers by 2030)</t>
        </is>
      </c>
    </row>
    <row r="11" ht="22" customHeight="1">
      <c r="A11" s="12" t="inlineStr">
        <is>
          <t>ITC Limited</t>
        </is>
      </c>
      <c r="B11" s="13" t="inlineStr">
        <is>
          <t>ITC</t>
        </is>
      </c>
      <c r="C11" s="13" t="inlineStr">
        <is>
          <t>FMCG, Paper, Hotels</t>
        </is>
      </c>
      <c r="D11" s="14" t="n">
        <v>195</v>
      </c>
      <c r="E11" s="12" t="inlineStr">
        <is>
          <t>177-205 MW Solar &amp; Wind assets</t>
        </is>
      </c>
      <c r="F11" s="15" t="n">
        <v>52</v>
      </c>
      <c r="G11" s="14" t="n">
        <v>420</v>
      </c>
      <c r="H11" s="16" t="n">
        <v>8.5</v>
      </c>
      <c r="I11" s="16" t="n">
        <v>3.75</v>
      </c>
      <c r="J11" s="16" t="n">
        <v>4.75</v>
      </c>
      <c r="K11" s="17" t="n">
        <v>199.5</v>
      </c>
      <c r="L11" s="12" t="inlineStr">
        <is>
          <t>Offsite Solar/Wind + Biomass boilers</t>
        </is>
      </c>
      <c r="M11" s="12" t="inlineStr">
        <is>
          <t>&gt;50% RE maintained; Sustainability 2.0</t>
        </is>
      </c>
    </row>
    <row r="12" ht="22" customHeight="1">
      <c r="A12" s="6" t="inlineStr">
        <is>
          <t>Hindalco Industries Ltd</t>
        </is>
      </c>
      <c r="B12" s="7" t="inlineStr">
        <is>
          <t>HINDALCO</t>
        </is>
      </c>
      <c r="C12" s="7" t="inlineStr">
        <is>
          <t>Aluminium &amp; Copper</t>
        </is>
      </c>
      <c r="D12" s="8" t="n">
        <v>190</v>
      </c>
      <c r="E12" s="6" t="inlineStr">
        <is>
          <t>190 MW operational (470 MW pipeline)</t>
        </is>
      </c>
      <c r="F12" s="9" t="n">
        <v>8</v>
      </c>
      <c r="G12" s="8" t="n">
        <v>650</v>
      </c>
      <c r="H12" s="10" t="n">
        <v>7.5</v>
      </c>
      <c r="I12" s="10" t="n">
        <v>3.8</v>
      </c>
      <c r="J12" s="10" t="n">
        <v>3.7</v>
      </c>
      <c r="K12" s="11" t="n">
        <v>240.5</v>
      </c>
      <c r="L12" s="6" t="inlineStr">
        <is>
          <t>RTC RE PPA with Greenko (Pumped Hydro)</t>
        </is>
      </c>
      <c r="M12" s="6" t="inlineStr">
        <is>
          <t>350 MW RTC RE for smelters, Net Zero 2050</t>
        </is>
      </c>
    </row>
    <row r="13" ht="22" customHeight="1">
      <c r="A13" s="12" t="inlineStr">
        <is>
          <t>Tata Motors Ltd</t>
        </is>
      </c>
      <c r="B13" s="13" t="inlineStr">
        <is>
          <t>TATAMOTORS</t>
        </is>
      </c>
      <c r="C13" s="13" t="inlineStr">
        <is>
          <t>Automotive</t>
        </is>
      </c>
      <c r="D13" s="14" t="n">
        <v>152</v>
      </c>
      <c r="E13" s="12" t="inlineStr">
        <is>
          <t>131 MW Hybrid PPA + 21 MW Rooftop Solar</t>
        </is>
      </c>
      <c r="F13" s="15" t="n">
        <v>51</v>
      </c>
      <c r="G13" s="14" t="n">
        <v>220</v>
      </c>
      <c r="H13" s="16" t="n">
        <v>8.800000000000001</v>
      </c>
      <c r="I13" s="16" t="n">
        <v>3.8</v>
      </c>
      <c r="J13" s="16" t="n">
        <v>5</v>
      </c>
      <c r="K13" s="17" t="n">
        <v>110</v>
      </c>
      <c r="L13" s="12" t="inlineStr">
        <is>
          <t>Rooftop Solar on Pune/Sanand + TPREL Hybrid</t>
        </is>
      </c>
      <c r="M13" s="12" t="inlineStr">
        <is>
          <t>100% RE in manufacturing by 2030</t>
        </is>
      </c>
    </row>
    <row r="14" ht="22" customHeight="1">
      <c r="A14" s="6" t="inlineStr">
        <is>
          <t>Larsen &amp; Toubro Ltd</t>
        </is>
      </c>
      <c r="B14" s="7" t="inlineStr">
        <is>
          <t>LT</t>
        </is>
      </c>
      <c r="C14" s="7" t="inlineStr">
        <is>
          <t>Engineering &amp; Construction</t>
        </is>
      </c>
      <c r="D14" s="8" t="n">
        <v>65</v>
      </c>
      <c r="E14" s="6" t="inlineStr">
        <is>
          <t>65 MW captive solar/wind at major yards</t>
        </is>
      </c>
      <c r="F14" s="9" t="n">
        <v>38</v>
      </c>
      <c r="G14" s="8" t="n">
        <v>145</v>
      </c>
      <c r="H14" s="10" t="n">
        <v>8.4</v>
      </c>
      <c r="I14" s="10" t="n">
        <v>3.9</v>
      </c>
      <c r="J14" s="10" t="n">
        <v>4.5</v>
      </c>
      <c r="K14" s="11" t="n">
        <v>65.3</v>
      </c>
      <c r="L14" s="6" t="inlineStr">
        <is>
          <t>Rooftop &amp; Ground Mounted Solar (Hazira/Chennai)</t>
        </is>
      </c>
      <c r="M14" s="6" t="inlineStr">
        <is>
          <t>Water &amp; Carbon Neutral by 2040</t>
        </is>
      </c>
    </row>
    <row r="15" ht="22" customHeight="1">
      <c r="A15" s="12" t="inlineStr">
        <is>
          <t>Mahindra &amp; Mahindra Ltd</t>
        </is>
      </c>
      <c r="B15" s="13" t="inlineStr">
        <is>
          <t>M&amp;M</t>
        </is>
      </c>
      <c r="C15" s="13" t="inlineStr">
        <is>
          <t>Automotive &amp; Tractors</t>
        </is>
      </c>
      <c r="D15" s="14" t="n">
        <v>78</v>
      </c>
      <c r="E15" s="12" t="inlineStr">
        <is>
          <t>78 MW Solar &amp; Wind installations</t>
        </is>
      </c>
      <c r="F15" s="15" t="n">
        <v>45</v>
      </c>
      <c r="G15" s="14" t="n">
        <v>160</v>
      </c>
      <c r="H15" s="16" t="n">
        <v>8.9</v>
      </c>
      <c r="I15" s="16" t="n">
        <v>3.8</v>
      </c>
      <c r="J15" s="16" t="n">
        <v>5.1</v>
      </c>
      <c r="K15" s="17" t="n">
        <v>81.59999999999999</v>
      </c>
      <c r="L15" s="12" t="inlineStr">
        <is>
          <t>Group Captive Solar with Mahindra Susten</t>
        </is>
      </c>
      <c r="M15" s="12" t="inlineStr">
        <is>
          <t>100% RE by 2030 (EP100 &amp; RE100)</t>
        </is>
      </c>
    </row>
    <row r="16" ht="22" customHeight="1">
      <c r="A16" s="6" t="inlineStr">
        <is>
          <t>Wipro Ltd</t>
        </is>
      </c>
      <c r="B16" s="7" t="inlineStr">
        <is>
          <t>WIPRO</t>
        </is>
      </c>
      <c r="C16" s="7" t="inlineStr">
        <is>
          <t>IT &amp; Software Services</t>
        </is>
      </c>
      <c r="D16" s="8" t="n">
        <v>45</v>
      </c>
      <c r="E16" s="6" t="inlineStr">
        <is>
          <t>Onsite solar + long-term Green PPAs</t>
        </is>
      </c>
      <c r="F16" s="9" t="n">
        <v>68</v>
      </c>
      <c r="G16" s="8" t="n">
        <v>190</v>
      </c>
      <c r="H16" s="10" t="n">
        <v>9.1</v>
      </c>
      <c r="I16" s="10" t="n">
        <v>3.6</v>
      </c>
      <c r="J16" s="10" t="n">
        <v>5.5</v>
      </c>
      <c r="K16" s="11" t="n">
        <v>104.5</v>
      </c>
      <c r="L16" s="6" t="inlineStr">
        <is>
          <t>PPA Open Access Solar + Campus Rooftop</t>
        </is>
      </c>
      <c r="M16" s="6" t="inlineStr">
        <is>
          <t>RE100, Net Zero GHG by 2040</t>
        </is>
      </c>
    </row>
    <row r="17" ht="22" customHeight="1">
      <c r="A17" s="12" t="inlineStr">
        <is>
          <t>Grasim Industries Ltd</t>
        </is>
      </c>
      <c r="B17" s="13" t="inlineStr">
        <is>
          <t>GRASIM</t>
        </is>
      </c>
      <c r="C17" s="13" t="inlineStr">
        <is>
          <t>Chemicals &amp; Textiles</t>
        </is>
      </c>
      <c r="D17" s="14" t="n">
        <v>185</v>
      </c>
      <c r="E17" s="12" t="inlineStr">
        <is>
          <t>185 MW Solar &amp; Wind for VSF &amp; Chemicals</t>
        </is>
      </c>
      <c r="F17" s="15" t="n">
        <v>24</v>
      </c>
      <c r="G17" s="14" t="n">
        <v>450</v>
      </c>
      <c r="H17" s="16" t="n">
        <v>7.9</v>
      </c>
      <c r="I17" s="16" t="n">
        <v>3.8</v>
      </c>
      <c r="J17" s="16" t="n">
        <v>4.1</v>
      </c>
      <c r="K17" s="17" t="n">
        <v>184.5</v>
      </c>
      <c r="L17" s="12" t="inlineStr">
        <is>
          <t>Group Captive Solar/Wind + Biomass</t>
        </is>
      </c>
      <c r="M17" s="12" t="inlineStr">
        <is>
          <t>50% RE by 2030</t>
        </is>
      </c>
    </row>
    <row r="18" ht="22" customHeight="1">
      <c r="A18" s="6" t="inlineStr">
        <is>
          <t>Titan Company Ltd</t>
        </is>
      </c>
      <c r="B18" s="7" t="inlineStr">
        <is>
          <t>TITAN</t>
        </is>
      </c>
      <c r="C18" s="7" t="inlineStr">
        <is>
          <t>Consumer Lifestyle &amp; Jewellery</t>
        </is>
      </c>
      <c r="D18" s="8" t="n">
        <v>18</v>
      </c>
      <c r="E18" s="6" t="inlineStr">
        <is>
          <t>18 MW solar plants in Tamil Nadu &amp; Hosur</t>
        </is>
      </c>
      <c r="F18" s="9" t="n">
        <v>72</v>
      </c>
      <c r="G18" s="8" t="n">
        <v>42</v>
      </c>
      <c r="H18" s="10" t="n">
        <v>8.699999999999999</v>
      </c>
      <c r="I18" s="10" t="n">
        <v>3.7</v>
      </c>
      <c r="J18" s="10" t="n">
        <v>5</v>
      </c>
      <c r="K18" s="11" t="n">
        <v>21</v>
      </c>
      <c r="L18" s="6" t="inlineStr">
        <is>
          <t>Dedicated Solar Park + Rooftop Solar</t>
        </is>
      </c>
      <c r="M18" s="6" t="inlineStr">
        <is>
          <t>100% RE across manufacturing by 2027</t>
        </is>
      </c>
    </row>
    <row r="19" ht="22" customHeight="1">
      <c r="A19" s="12" t="inlineStr">
        <is>
          <t>Asian Paints Ltd</t>
        </is>
      </c>
      <c r="B19" s="13" t="inlineStr">
        <is>
          <t>ASIANPAINT</t>
        </is>
      </c>
      <c r="C19" s="13" t="inlineStr">
        <is>
          <t>Paints &amp; Chemicals</t>
        </is>
      </c>
      <c r="D19" s="14" t="n">
        <v>42</v>
      </c>
      <c r="E19" s="12" t="inlineStr">
        <is>
          <t>42 MW Solar &amp; Wind installations</t>
        </is>
      </c>
      <c r="F19" s="15" t="n">
        <v>61</v>
      </c>
      <c r="G19" s="14" t="n">
        <v>88</v>
      </c>
      <c r="H19" s="16" t="n">
        <v>8.6</v>
      </c>
      <c r="I19" s="16" t="n">
        <v>3.75</v>
      </c>
      <c r="J19" s="16" t="n">
        <v>4.85</v>
      </c>
      <c r="K19" s="17" t="n">
        <v>42.7</v>
      </c>
      <c r="L19" s="12" t="inlineStr">
        <is>
          <t>Rooftop Solar on all 8 plants + Wind PPAs</t>
        </is>
      </c>
      <c r="M19" s="12" t="inlineStr">
        <is>
          <t>75% RE by 2028</t>
        </is>
      </c>
    </row>
    <row r="20" ht="22" customHeight="1">
      <c r="A20" s="6" t="inlineStr">
        <is>
          <t>Sun Pharmaceutical Ltd</t>
        </is>
      </c>
      <c r="B20" s="7" t="inlineStr">
        <is>
          <t>SUNPHARMA</t>
        </is>
      </c>
      <c r="C20" s="7" t="inlineStr">
        <is>
          <t>Pharmaceuticals</t>
        </is>
      </c>
      <c r="D20" s="8" t="n">
        <v>38</v>
      </c>
      <c r="E20" s="6" t="inlineStr">
        <is>
          <t>38 MW Solar &amp; Wind across plants</t>
        </is>
      </c>
      <c r="F20" s="9" t="n">
        <v>35</v>
      </c>
      <c r="G20" s="8" t="n">
        <v>95</v>
      </c>
      <c r="H20" s="10" t="n">
        <v>8.5</v>
      </c>
      <c r="I20" s="10" t="n">
        <v>3.85</v>
      </c>
      <c r="J20" s="10" t="n">
        <v>4.65</v>
      </c>
      <c r="K20" s="11" t="n">
        <v>44.2</v>
      </c>
      <c r="L20" s="6" t="inlineStr">
        <is>
          <t>Onsite Rooftop + Open Access Solar</t>
        </is>
      </c>
      <c r="M20" s="6" t="inlineStr">
        <is>
          <t>50% RE by 2030</t>
        </is>
      </c>
    </row>
    <row r="21" ht="22" customHeight="1">
      <c r="A21" s="12" t="inlineStr">
        <is>
          <t>Tech Mahindra Ltd</t>
        </is>
      </c>
      <c r="B21" s="13" t="inlineStr">
        <is>
          <t>TECHM</t>
        </is>
      </c>
      <c r="C21" s="13" t="inlineStr">
        <is>
          <t>IT &amp; Software Services</t>
        </is>
      </c>
      <c r="D21" s="14" t="n">
        <v>25</v>
      </c>
      <c r="E21" s="12" t="inlineStr">
        <is>
          <t>25 MW Rooftop Solar + Green PPA</t>
        </is>
      </c>
      <c r="F21" s="15" t="n">
        <v>58</v>
      </c>
      <c r="G21" s="14" t="n">
        <v>72</v>
      </c>
      <c r="H21" s="16" t="n">
        <v>9.300000000000001</v>
      </c>
      <c r="I21" s="16" t="n">
        <v>3.6</v>
      </c>
      <c r="J21" s="16" t="n">
        <v>5.7</v>
      </c>
      <c r="K21" s="17" t="n">
        <v>41</v>
      </c>
      <c r="L21" s="12" t="inlineStr">
        <is>
          <t>Green Tariffs + Campus Solar</t>
        </is>
      </c>
      <c r="M21" s="12" t="inlineStr">
        <is>
          <t>RE100, 100% RE by 2030</t>
        </is>
      </c>
    </row>
    <row r="22" ht="22" customHeight="1">
      <c r="A22" s="6" t="inlineStr">
        <is>
          <t>HCL Technologies Ltd</t>
        </is>
      </c>
      <c r="B22" s="7" t="inlineStr">
        <is>
          <t>HCLTECH</t>
        </is>
      </c>
      <c r="C22" s="7" t="inlineStr">
        <is>
          <t>IT &amp; Software Services</t>
        </is>
      </c>
      <c r="D22" s="8" t="n">
        <v>32</v>
      </c>
      <c r="E22" s="6" t="inlineStr">
        <is>
          <t>32 MW solar installations &amp; PPA</t>
        </is>
      </c>
      <c r="F22" s="9" t="n">
        <v>62</v>
      </c>
      <c r="G22" s="8" t="n">
        <v>110</v>
      </c>
      <c r="H22" s="10" t="n">
        <v>9.199999999999999</v>
      </c>
      <c r="I22" s="10" t="n">
        <v>3.65</v>
      </c>
      <c r="J22" s="10" t="n">
        <v>5.55</v>
      </c>
      <c r="K22" s="11" t="n">
        <v>61.1</v>
      </c>
      <c r="L22" s="6" t="inlineStr">
        <is>
          <t>Campus Rooftop PV + Green Open Access</t>
        </is>
      </c>
      <c r="M22" s="6" t="inlineStr">
        <is>
          <t>RE100, Net Zero by 2040</t>
        </is>
      </c>
    </row>
    <row r="23" ht="22" customHeight="1">
      <c r="A23" s="12" t="inlineStr">
        <is>
          <t>Adani Ports and SEZ Ltd</t>
        </is>
      </c>
      <c r="B23" s="13" t="inlineStr">
        <is>
          <t>ADANIPORTS</t>
        </is>
      </c>
      <c r="C23" s="13" t="inlineStr">
        <is>
          <t>Logistics &amp; Ports</t>
        </is>
      </c>
      <c r="D23" s="14" t="n">
        <v>65</v>
      </c>
      <c r="E23" s="12" t="inlineStr">
        <is>
          <t>65 MW captive solar/wind at Mundra &amp; ports</t>
        </is>
      </c>
      <c r="F23" s="15" t="n">
        <v>39</v>
      </c>
      <c r="G23" s="14" t="n">
        <v>130</v>
      </c>
      <c r="H23" s="16" t="n">
        <v>8</v>
      </c>
      <c r="I23" s="16" t="n">
        <v>3.7</v>
      </c>
      <c r="J23" s="16" t="n">
        <v>4.3</v>
      </c>
      <c r="K23" s="17" t="n">
        <v>55.9</v>
      </c>
      <c r="L23" s="12" t="inlineStr">
        <is>
          <t>Rooftop &amp; Port Land Solar PV</t>
        </is>
      </c>
      <c r="M23" s="12" t="inlineStr">
        <is>
          <t>Carbon Neutral by 2025, 100% RE by 2030</t>
        </is>
      </c>
    </row>
    <row r="24" ht="22" customHeight="1">
      <c r="A24" s="6" t="inlineStr">
        <is>
          <t>NTPC Ltd (Captive &amp; Green)</t>
        </is>
      </c>
      <c r="B24" s="7" t="inlineStr">
        <is>
          <t>NTPC</t>
        </is>
      </c>
      <c r="C24" s="7" t="inlineStr">
        <is>
          <t>Power Utilities</t>
        </is>
      </c>
      <c r="D24" s="8" t="n">
        <v>3500</v>
      </c>
      <c r="E24" s="6" t="inlineStr">
        <is>
          <t>3,500 MW RE operational (60 GW by 2032)</t>
        </is>
      </c>
      <c r="F24" s="9" t="n">
        <v>12</v>
      </c>
      <c r="G24" s="8" t="n">
        <v>4500</v>
      </c>
      <c r="H24" s="10" t="n">
        <v>6.5</v>
      </c>
      <c r="I24" s="10" t="n">
        <v>3.1</v>
      </c>
      <c r="J24" s="10" t="n">
        <v>3.4</v>
      </c>
      <c r="K24" s="11" t="n">
        <v>1530</v>
      </c>
      <c r="L24" s="6" t="inlineStr">
        <is>
          <t>Utility Solar + Floating Solar at Reservoirs</t>
        </is>
      </c>
      <c r="M24" s="6" t="inlineStr">
        <is>
          <t>60 GW RE by 2032 (NTPC Green Energy)</t>
        </is>
      </c>
    </row>
    <row r="25" ht="25" customHeight="1">
      <c r="A25" s="18" t="inlineStr">
        <is>
          <t>TOTAL / WEIGHTED AVERAGE</t>
        </is>
      </c>
      <c r="B25" s="29" t="n"/>
      <c r="C25" s="29" t="n"/>
      <c r="D25" s="20">
        <f>SUM(D5:D24)</f>
        <v/>
      </c>
      <c r="E25" s="29" t="n"/>
      <c r="F25" s="21">
        <f>AVERAGE(F5:F24)</f>
        <v/>
      </c>
      <c r="G25" s="20">
        <f>SUM(G5:G24)</f>
        <v/>
      </c>
      <c r="H25" s="22">
        <f>AVERAGE(H5:H24)</f>
        <v/>
      </c>
      <c r="I25" s="22">
        <f>AVERAGE(I5:I24)</f>
        <v/>
      </c>
      <c r="J25" s="22">
        <f>AVERAGE(J5:J24)</f>
        <v/>
      </c>
      <c r="K25" s="23">
        <f>SUM(K5:K24)</f>
        <v/>
      </c>
      <c r="L25" s="29" t="n"/>
      <c r="M25" s="29" t="n"/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6" customWidth="1" min="3" max="3"/>
    <col width="18" customWidth="1" min="4" max="4"/>
    <col width="38" customWidth="1" min="5" max="5"/>
    <col width="16" customWidth="1" min="6" max="6"/>
    <col width="20" customWidth="1" min="7" max="7"/>
    <col width="16" customWidth="1" min="8" max="8"/>
    <col width="16" customWidth="1" min="9" max="9"/>
    <col width="20" customWidth="1" min="10" max="10"/>
    <col width="22" customWidth="1" min="11" max="11"/>
    <col width="38" customWidth="1" min="12" max="12"/>
    <col width="42" customWidth="1" min="13" max="13"/>
  </cols>
  <sheetData>
    <row r="1" ht="35" customHeight="1">
      <c r="A1" s="30" t="inlineStr">
        <is>
          <t>India Listed Mid-Cap Companies: Renewable Energy Portfolio &amp; Shielded Costs</t>
        </is>
      </c>
    </row>
    <row r="2" ht="22" customHeight="1">
      <c r="A2" s="31" t="inlineStr">
        <is>
          <t>SEBI Top 101-250 Listed Corporates | Energy-Intensive Manufacturing, Cement, Auto &amp; FMCG</t>
        </is>
      </c>
    </row>
    <row r="3" ht="10" customHeight="1"/>
    <row r="4" ht="28" customHeight="1">
      <c r="A4" s="32" t="inlineStr">
        <is>
          <t>Company Name</t>
        </is>
      </c>
      <c r="B4" s="32" t="inlineStr">
        <is>
          <t>Ticker</t>
        </is>
      </c>
      <c r="C4" s="32" t="inlineStr">
        <is>
          <t>Sector / Industry</t>
        </is>
      </c>
      <c r="D4" s="32" t="inlineStr">
        <is>
          <t>Installed / Contracted RE (MW)</t>
        </is>
      </c>
      <c r="E4" s="32" t="inlineStr">
        <is>
          <t>Solar / Wind / Green Tech Details</t>
        </is>
      </c>
      <c r="F4" s="32" t="inlineStr">
        <is>
          <t>RE Electricity Share (%)</t>
        </is>
      </c>
      <c r="G4" s="32" t="inlineStr">
        <is>
          <t>Annual Green Units (MU / MWh M)</t>
        </is>
      </c>
      <c r="H4" s="32" t="inlineStr">
        <is>
          <t>Avg. Grid Tariff (₹/kWh)</t>
        </is>
      </c>
      <c r="I4" s="32" t="inlineStr">
        <is>
          <t>Green Landed Cost (₹/kWh)</t>
        </is>
      </c>
      <c r="J4" s="32" t="inlineStr">
        <is>
          <t>Cost Shielded / Unit Saved (₹/kWh)</t>
        </is>
      </c>
      <c r="K4" s="32" t="inlineStr">
        <is>
          <t>Est. Annual Cost Shielded (₹ Crore)</t>
        </is>
      </c>
      <c r="L4" s="32" t="inlineStr">
        <is>
          <t>Primary Sourcing Model</t>
        </is>
      </c>
      <c r="M4" s="32" t="inlineStr">
        <is>
          <t>Key Targets / Commitments</t>
        </is>
      </c>
    </row>
    <row r="5" ht="22" customHeight="1">
      <c r="A5" s="12" t="inlineStr">
        <is>
          <t>Shree Cement Ltd</t>
        </is>
      </c>
      <c r="B5" s="13" t="inlineStr">
        <is>
          <t>SHREECEM</t>
        </is>
      </c>
      <c r="C5" s="13" t="inlineStr">
        <is>
          <t>Cement</t>
        </is>
      </c>
      <c r="D5" s="14" t="n">
        <v>666.5</v>
      </c>
      <c r="E5" s="12" t="inlineStr">
        <is>
          <t>350 MW Solar/Wind + 274 MW WHRS</t>
        </is>
      </c>
      <c r="F5" s="15" t="n">
        <v>58</v>
      </c>
      <c r="G5" s="14" t="n">
        <v>1950</v>
      </c>
      <c r="H5" s="16" t="n">
        <v>8.1</v>
      </c>
      <c r="I5" s="16" t="n">
        <v>3.6</v>
      </c>
      <c r="J5" s="16" t="n">
        <v>4.5</v>
      </c>
      <c r="K5" s="17" t="n">
        <v>877.5</v>
      </c>
      <c r="L5" s="12" t="inlineStr">
        <is>
          <t>Captive Solar/Wind parks + WHRS integration</t>
        </is>
      </c>
      <c r="M5" s="12" t="inlineStr">
        <is>
          <t>Reach &gt;65% Green Power by 2027</t>
        </is>
      </c>
    </row>
    <row r="6" ht="22" customHeight="1">
      <c r="A6" s="6" t="inlineStr">
        <is>
          <t>Dalmia Bharat Ltd</t>
        </is>
      </c>
      <c r="B6" s="7" t="inlineStr">
        <is>
          <t>DALBHARAT</t>
        </is>
      </c>
      <c r="C6" s="7" t="inlineStr">
        <is>
          <t>Cement</t>
        </is>
      </c>
      <c r="D6" s="8" t="n">
        <v>410</v>
      </c>
      <c r="E6" s="6" t="inlineStr">
        <is>
          <t>136 MW Solar + Wind + WHRS</t>
        </is>
      </c>
      <c r="F6" s="9" t="n">
        <v>47</v>
      </c>
      <c r="G6" s="8" t="n">
        <v>850</v>
      </c>
      <c r="H6" s="10" t="n">
        <v>8</v>
      </c>
      <c r="I6" s="10" t="n">
        <v>3.7</v>
      </c>
      <c r="J6" s="10" t="n">
        <v>4.3</v>
      </c>
      <c r="K6" s="11" t="n">
        <v>365.5</v>
      </c>
      <c r="L6" s="6" t="inlineStr">
        <is>
          <t>RE100, Captive Solar + Open Access</t>
        </is>
      </c>
      <c r="M6" s="6" t="inlineStr">
        <is>
          <t>100% RE by 2030, Carbon Negative 2040</t>
        </is>
      </c>
    </row>
    <row r="7" ht="22" customHeight="1">
      <c r="A7" s="12" t="inlineStr">
        <is>
          <t>The Ramco Cements Ltd</t>
        </is>
      </c>
      <c r="B7" s="13" t="inlineStr">
        <is>
          <t>RAMCOCEM</t>
        </is>
      </c>
      <c r="C7" s="13" t="inlineStr">
        <is>
          <t>Cement</t>
        </is>
      </c>
      <c r="D7" s="14" t="n">
        <v>215</v>
      </c>
      <c r="E7" s="12" t="inlineStr">
        <is>
          <t>165 MW Wind + 50 MW Solar &amp; WHRS</t>
        </is>
      </c>
      <c r="F7" s="15" t="n">
        <v>42</v>
      </c>
      <c r="G7" s="14" t="n">
        <v>480</v>
      </c>
      <c r="H7" s="16" t="n">
        <v>8.300000000000001</v>
      </c>
      <c r="I7" s="16" t="n">
        <v>3.75</v>
      </c>
      <c r="J7" s="16" t="n">
        <v>4.55</v>
      </c>
      <c r="K7" s="17" t="n">
        <v>218.4</v>
      </c>
      <c r="L7" s="12" t="inlineStr">
        <is>
          <t>Captive Wind farms in TN + Rooftop Solar</t>
        </is>
      </c>
      <c r="M7" s="12" t="inlineStr">
        <is>
          <t>60% RE by 2030</t>
        </is>
      </c>
    </row>
    <row r="8" ht="22" customHeight="1">
      <c r="A8" s="6" t="inlineStr">
        <is>
          <t>Tata Power Co Ltd</t>
        </is>
      </c>
      <c r="B8" s="7" t="inlineStr">
        <is>
          <t>TATAPOWER</t>
        </is>
      </c>
      <c r="C8" s="7" t="inlineStr">
        <is>
          <t>Power Utilities &amp; Cleantech</t>
        </is>
      </c>
      <c r="D8" s="8" t="n">
        <v>5500</v>
      </c>
      <c r="E8" s="6" t="inlineStr">
        <is>
          <t>5,500 MW operational RE portfolio</t>
        </is>
      </c>
      <c r="F8" s="9" t="n">
        <v>40</v>
      </c>
      <c r="G8" s="8" t="n">
        <v>7200</v>
      </c>
      <c r="H8" s="10" t="n">
        <v>7.8</v>
      </c>
      <c r="I8" s="10" t="n">
        <v>3.3</v>
      </c>
      <c r="J8" s="10" t="n">
        <v>4.5</v>
      </c>
      <c r="K8" s="11" t="n">
        <v>3240</v>
      </c>
      <c r="L8" s="6" t="inlineStr">
        <is>
          <t>Utility RE + Group Captive Solar Developer</t>
        </is>
      </c>
      <c r="M8" s="6" t="inlineStr">
        <is>
          <t>100% Clean Energy by 2045</t>
        </is>
      </c>
    </row>
    <row r="9" ht="22" customHeight="1">
      <c r="A9" s="12" t="inlineStr">
        <is>
          <t>JSW Energy Ltd</t>
        </is>
      </c>
      <c r="B9" s="13" t="inlineStr">
        <is>
          <t>JSWENERGY</t>
        </is>
      </c>
      <c r="C9" s="13" t="inlineStr">
        <is>
          <t>Power Utilities &amp; RE</t>
        </is>
      </c>
      <c r="D9" s="14" t="n">
        <v>3200</v>
      </c>
      <c r="E9" s="12" t="inlineStr">
        <is>
          <t>3,200 MW operational RE (10 GW pipeline)</t>
        </is>
      </c>
      <c r="F9" s="15" t="n">
        <v>45</v>
      </c>
      <c r="G9" s="14" t="n">
        <v>4800</v>
      </c>
      <c r="H9" s="16" t="n">
        <v>7.7</v>
      </c>
      <c r="I9" s="16" t="n">
        <v>3.25</v>
      </c>
      <c r="J9" s="16" t="n">
        <v>4.45</v>
      </c>
      <c r="K9" s="17" t="n">
        <v>2136</v>
      </c>
      <c r="L9" s="12" t="inlineStr">
        <is>
          <t>Solar, Wind &amp; Pumped Hydro Developer</t>
        </is>
      </c>
      <c r="M9" s="12" t="inlineStr">
        <is>
          <t>20 GW by 2030, 85% RE share</t>
        </is>
      </c>
    </row>
    <row r="10" ht="22" customHeight="1">
      <c r="A10" s="6" t="inlineStr">
        <is>
          <t>Jindal Stainless Ltd</t>
        </is>
      </c>
      <c r="B10" s="7" t="inlineStr">
        <is>
          <t>JINDALSTEL</t>
        </is>
      </c>
      <c r="C10" s="7" t="inlineStr">
        <is>
          <t>Stainless Steel</t>
        </is>
      </c>
      <c r="D10" s="8" t="n">
        <v>300</v>
      </c>
      <c r="E10" s="6" t="inlineStr">
        <is>
          <t>100 MW Rooftop/Floating Solar + 200 MW Wind</t>
        </is>
      </c>
      <c r="F10" s="9" t="n">
        <v>18</v>
      </c>
      <c r="G10" s="8" t="n">
        <v>650</v>
      </c>
      <c r="H10" s="10" t="n">
        <v>7.8</v>
      </c>
      <c r="I10" s="10" t="n">
        <v>3.8</v>
      </c>
      <c r="J10" s="10" t="n">
        <v>4</v>
      </c>
      <c r="K10" s="11" t="n">
        <v>260</v>
      </c>
      <c r="L10" s="6" t="inlineStr">
        <is>
          <t>Captive Hybrid PPA with ReNew &amp; Rooftop</t>
        </is>
      </c>
      <c r="M10" s="6" t="inlineStr">
        <is>
          <t>50% Carbon Reduction by 2035</t>
        </is>
      </c>
    </row>
    <row r="11" ht="22" customHeight="1">
      <c r="A11" s="12" t="inlineStr">
        <is>
          <t>Bharat Forge Ltd</t>
        </is>
      </c>
      <c r="B11" s="13" t="inlineStr">
        <is>
          <t>BHARATFORG</t>
        </is>
      </c>
      <c r="C11" s="13" t="inlineStr">
        <is>
          <t>Auto Ancillary &amp; Forging</t>
        </is>
      </c>
      <c r="D11" s="14" t="n">
        <v>52</v>
      </c>
      <c r="E11" s="12" t="inlineStr">
        <is>
          <t>52 MW Solar &amp; Wind installations</t>
        </is>
      </c>
      <c r="F11" s="15" t="n">
        <v>36</v>
      </c>
      <c r="G11" s="14" t="n">
        <v>135</v>
      </c>
      <c r="H11" s="16" t="n">
        <v>8.9</v>
      </c>
      <c r="I11" s="16" t="n">
        <v>3.8</v>
      </c>
      <c r="J11" s="16" t="n">
        <v>5.1</v>
      </c>
      <c r="K11" s="17" t="n">
        <v>68.90000000000001</v>
      </c>
      <c r="L11" s="12" t="inlineStr">
        <is>
          <t>Group Captive Solar in Maharashtra</t>
        </is>
      </c>
      <c r="M11" s="12" t="inlineStr">
        <is>
          <t>Carbon Neutral by 2040</t>
        </is>
      </c>
    </row>
    <row r="12" ht="22" customHeight="1">
      <c r="A12" s="6" t="inlineStr">
        <is>
          <t>Apollo Tyres Ltd</t>
        </is>
      </c>
      <c r="B12" s="7" t="inlineStr">
        <is>
          <t>APOLLOTYRE</t>
        </is>
      </c>
      <c r="C12" s="7" t="inlineStr">
        <is>
          <t>Auto Tyres</t>
        </is>
      </c>
      <c r="D12" s="8" t="n">
        <v>48</v>
      </c>
      <c r="E12" s="6" t="inlineStr">
        <is>
          <t>48 MW Solar &amp; Biomass installations</t>
        </is>
      </c>
      <c r="F12" s="9" t="n">
        <v>32</v>
      </c>
      <c r="G12" s="8" t="n">
        <v>120</v>
      </c>
      <c r="H12" s="10" t="n">
        <v>8.6</v>
      </c>
      <c r="I12" s="10" t="n">
        <v>3.75</v>
      </c>
      <c r="J12" s="10" t="n">
        <v>4.85</v>
      </c>
      <c r="K12" s="11" t="n">
        <v>58.2</v>
      </c>
      <c r="L12" s="6" t="inlineStr">
        <is>
          <t>Open Access Solar in AP &amp; Gujarat</t>
        </is>
      </c>
      <c r="M12" s="6" t="inlineStr">
        <is>
          <t>25% Carbon Intensity cut by 2026</t>
        </is>
      </c>
    </row>
    <row r="13" ht="22" customHeight="1">
      <c r="A13" s="12" t="inlineStr">
        <is>
          <t>CEAT Ltd</t>
        </is>
      </c>
      <c r="B13" s="13" t="inlineStr">
        <is>
          <t>CEATLTD</t>
        </is>
      </c>
      <c r="C13" s="13" t="inlineStr">
        <is>
          <t>Auto Tyres</t>
        </is>
      </c>
      <c r="D13" s="14" t="n">
        <v>38</v>
      </c>
      <c r="E13" s="12" t="inlineStr">
        <is>
          <t>38 MW Solar installations (Halol &amp; Nagpur)</t>
        </is>
      </c>
      <c r="F13" s="15" t="n">
        <v>34</v>
      </c>
      <c r="G13" s="14" t="n">
        <v>95</v>
      </c>
      <c r="H13" s="16" t="n">
        <v>8.699999999999999</v>
      </c>
      <c r="I13" s="16" t="n">
        <v>3.8</v>
      </c>
      <c r="J13" s="16" t="n">
        <v>4.9</v>
      </c>
      <c r="K13" s="17" t="n">
        <v>46.6</v>
      </c>
      <c r="L13" s="12" t="inlineStr">
        <is>
          <t>Rooftop Solar + Captive Solar PPA</t>
        </is>
      </c>
      <c r="M13" s="12" t="inlineStr">
        <is>
          <t>50% RE by 2030</t>
        </is>
      </c>
    </row>
    <row r="14" ht="22" customHeight="1">
      <c r="A14" s="6" t="inlineStr">
        <is>
          <t>SRF Ltd</t>
        </is>
      </c>
      <c r="B14" s="7" t="inlineStr">
        <is>
          <t>SRF</t>
        </is>
      </c>
      <c r="C14" s="7" t="inlineStr">
        <is>
          <t>Specialty Chemicals &amp; Packaging</t>
        </is>
      </c>
      <c r="D14" s="8" t="n">
        <v>65</v>
      </c>
      <c r="E14" s="6" t="inlineStr">
        <is>
          <t>65 MW Solar &amp; Wind power PPAs</t>
        </is>
      </c>
      <c r="F14" s="9" t="n">
        <v>22</v>
      </c>
      <c r="G14" s="8" t="n">
        <v>160</v>
      </c>
      <c r="H14" s="10" t="n">
        <v>8</v>
      </c>
      <c r="I14" s="10" t="n">
        <v>3.85</v>
      </c>
      <c r="J14" s="10" t="n">
        <v>4.15</v>
      </c>
      <c r="K14" s="11" t="n">
        <v>66.40000000000001</v>
      </c>
      <c r="L14" s="6" t="inlineStr">
        <is>
          <t>Open Access Solar in Rajasthan &amp; MP</t>
        </is>
      </c>
      <c r="M14" s="6" t="inlineStr">
        <is>
          <t>35% RE by 2028</t>
        </is>
      </c>
    </row>
    <row r="15" ht="22" customHeight="1">
      <c r="A15" s="12" t="inlineStr">
        <is>
          <t>PI Industries Ltd</t>
        </is>
      </c>
      <c r="B15" s="13" t="inlineStr">
        <is>
          <t>PIIND</t>
        </is>
      </c>
      <c r="C15" s="13" t="inlineStr">
        <is>
          <t>Agrochemicals &amp; Specialty Chem</t>
        </is>
      </c>
      <c r="D15" s="14" t="n">
        <v>28</v>
      </c>
      <c r="E15" s="12" t="inlineStr">
        <is>
          <t>28 MW Solar power plants &amp; rooftop</t>
        </is>
      </c>
      <c r="F15" s="15" t="n">
        <v>31</v>
      </c>
      <c r="G15" s="14" t="n">
        <v>65</v>
      </c>
      <c r="H15" s="16" t="n">
        <v>8.199999999999999</v>
      </c>
      <c r="I15" s="16" t="n">
        <v>3.7</v>
      </c>
      <c r="J15" s="16" t="n">
        <v>4.5</v>
      </c>
      <c r="K15" s="17" t="n">
        <v>29.3</v>
      </c>
      <c r="L15" s="12" t="inlineStr">
        <is>
          <t>Onsite Rooftop Solar + Offsite Open Access</t>
        </is>
      </c>
      <c r="M15" s="12" t="inlineStr">
        <is>
          <t>45% RE by 2030</t>
        </is>
      </c>
    </row>
    <row r="16" ht="22" customHeight="1">
      <c r="A16" s="6" t="inlineStr">
        <is>
          <t>Biocon Ltd</t>
        </is>
      </c>
      <c r="B16" s="7" t="inlineStr">
        <is>
          <t>BIOCON</t>
        </is>
      </c>
      <c r="C16" s="7" t="inlineStr">
        <is>
          <t>Biopharmaceuticals</t>
        </is>
      </c>
      <c r="D16" s="8" t="n">
        <v>22</v>
      </c>
      <c r="E16" s="6" t="inlineStr">
        <is>
          <t>22 MW Solar &amp; Wind PPAs</t>
        </is>
      </c>
      <c r="F16" s="9" t="n">
        <v>48</v>
      </c>
      <c r="G16" s="8" t="n">
        <v>58</v>
      </c>
      <c r="H16" s="10" t="n">
        <v>8.800000000000001</v>
      </c>
      <c r="I16" s="10" t="n">
        <v>3.8</v>
      </c>
      <c r="J16" s="10" t="n">
        <v>5</v>
      </c>
      <c r="K16" s="11" t="n">
        <v>29</v>
      </c>
      <c r="L16" s="6" t="inlineStr">
        <is>
          <t>Open Access Solar with CleanMax</t>
        </is>
      </c>
      <c r="M16" s="6" t="inlineStr">
        <is>
          <t>70% RE by 2028</t>
        </is>
      </c>
    </row>
    <row r="17" ht="22" customHeight="1">
      <c r="A17" s="12" t="inlineStr">
        <is>
          <t>Marico Ltd</t>
        </is>
      </c>
      <c r="B17" s="13" t="inlineStr">
        <is>
          <t>MARICO</t>
        </is>
      </c>
      <c r="C17" s="13" t="inlineStr">
        <is>
          <t>FMCG / Personal Care</t>
        </is>
      </c>
      <c r="D17" s="14" t="n">
        <v>16</v>
      </c>
      <c r="E17" s="12" t="inlineStr">
        <is>
          <t>16 MW Solar &amp; Biomass fuel assets</t>
        </is>
      </c>
      <c r="F17" s="15" t="n">
        <v>65</v>
      </c>
      <c r="G17" s="14" t="n">
        <v>32</v>
      </c>
      <c r="H17" s="16" t="n">
        <v>8.5</v>
      </c>
      <c r="I17" s="16" t="n">
        <v>3.7</v>
      </c>
      <c r="J17" s="16" t="n">
        <v>4.8</v>
      </c>
      <c r="K17" s="17" t="n">
        <v>15.4</v>
      </c>
      <c r="L17" s="12" t="inlineStr">
        <is>
          <t>Rooftop Solar on 100% of owned factories</t>
        </is>
      </c>
      <c r="M17" s="12" t="inlineStr">
        <is>
          <t>Net Zero emissions by 2040</t>
        </is>
      </c>
    </row>
    <row r="18" ht="22" customHeight="1">
      <c r="A18" s="6" t="inlineStr">
        <is>
          <t>Godrej Consumer Products</t>
        </is>
      </c>
      <c r="B18" s="7" t="inlineStr">
        <is>
          <t>GODREJCP</t>
        </is>
      </c>
      <c r="C18" s="7" t="inlineStr">
        <is>
          <t>FMCG</t>
        </is>
      </c>
      <c r="D18" s="8" t="n">
        <v>18</v>
      </c>
      <c r="E18" s="6" t="inlineStr">
        <is>
          <t>18 MW Solar &amp; Biomass cogeneration</t>
        </is>
      </c>
      <c r="F18" s="9" t="n">
        <v>42</v>
      </c>
      <c r="G18" s="8" t="n">
        <v>38</v>
      </c>
      <c r="H18" s="10" t="n">
        <v>8.6</v>
      </c>
      <c r="I18" s="10" t="n">
        <v>3.75</v>
      </c>
      <c r="J18" s="10" t="n">
        <v>4.85</v>
      </c>
      <c r="K18" s="11" t="n">
        <v>18.4</v>
      </c>
      <c r="L18" s="6" t="inlineStr">
        <is>
          <t>Onsite Rooftop Solar + Green Tariff</t>
        </is>
      </c>
      <c r="M18" s="6" t="inlineStr">
        <is>
          <t>100% RE by 2030</t>
        </is>
      </c>
    </row>
    <row r="19" ht="22" customHeight="1">
      <c r="A19" s="12" t="inlineStr">
        <is>
          <t>Ashok Leyland Ltd</t>
        </is>
      </c>
      <c r="B19" s="13" t="inlineStr">
        <is>
          <t>ASHOKLEY</t>
        </is>
      </c>
      <c r="C19" s="13" t="inlineStr">
        <is>
          <t>Commercial Vehicles</t>
        </is>
      </c>
      <c r="D19" s="14" t="n">
        <v>55</v>
      </c>
      <c r="E19" s="12" t="inlineStr">
        <is>
          <t>55 MW Solar (Pantnagar, Ennore, Hosur)</t>
        </is>
      </c>
      <c r="F19" s="15" t="n">
        <v>60</v>
      </c>
      <c r="G19" s="14" t="n">
        <v>115</v>
      </c>
      <c r="H19" s="16" t="n">
        <v>8.800000000000001</v>
      </c>
      <c r="I19" s="16" t="n">
        <v>3.7</v>
      </c>
      <c r="J19" s="16" t="n">
        <v>5.1</v>
      </c>
      <c r="K19" s="17" t="n">
        <v>58.7</v>
      </c>
      <c r="L19" s="12" t="inlineStr">
        <is>
          <t>Rooftop Solar &amp; Wind PPA in Tamil Nadu</t>
        </is>
      </c>
      <c r="M19" s="12" t="inlineStr">
        <is>
          <t>100% RE across manufacturing by 2030</t>
        </is>
      </c>
    </row>
    <row r="20" ht="22" customHeight="1">
      <c r="A20" s="6" t="inlineStr">
        <is>
          <t>Cummins India Ltd</t>
        </is>
      </c>
      <c r="B20" s="7" t="inlineStr">
        <is>
          <t>CUMMINSIND</t>
        </is>
      </c>
      <c r="C20" s="7" t="inlineStr">
        <is>
          <t>Diesel &amp; Natural Gas Engines</t>
        </is>
      </c>
      <c r="D20" s="8" t="n">
        <v>14</v>
      </c>
      <c r="E20" s="6" t="inlineStr">
        <is>
          <t>14 MW Rooftop Solar at Kothrud &amp; Phaltan</t>
        </is>
      </c>
      <c r="F20" s="9" t="n">
        <v>45</v>
      </c>
      <c r="G20" s="8" t="n">
        <v>28</v>
      </c>
      <c r="H20" s="10" t="n">
        <v>8.9</v>
      </c>
      <c r="I20" s="10" t="n">
        <v>3.8</v>
      </c>
      <c r="J20" s="10" t="n">
        <v>5.1</v>
      </c>
      <c r="K20" s="11" t="n">
        <v>14.3</v>
      </c>
      <c r="L20" s="6" t="inlineStr">
        <is>
          <t>Rooftop Solar installations</t>
        </is>
      </c>
      <c r="M20" s="6" t="inlineStr">
        <is>
          <t>Planet 2050 target, 50% RE by 2030</t>
        </is>
      </c>
    </row>
    <row r="21" ht="22" customHeight="1">
      <c r="A21" s="12" t="inlineStr">
        <is>
          <t>Voltas Ltd</t>
        </is>
      </c>
      <c r="B21" s="13" t="inlineStr">
        <is>
          <t>VOLTAS</t>
        </is>
      </c>
      <c r="C21" s="13" t="inlineStr">
        <is>
          <t>Consumer Durables &amp; Cooling</t>
        </is>
      </c>
      <c r="D21" s="14" t="n">
        <v>8.5</v>
      </c>
      <c r="E21" s="12" t="inlineStr">
        <is>
          <t>8.5 MW Rooftop Solar at Pantnagar &amp; Sanand</t>
        </is>
      </c>
      <c r="F21" s="15" t="n">
        <v>40</v>
      </c>
      <c r="G21" s="14" t="n">
        <v>16</v>
      </c>
      <c r="H21" s="16" t="n">
        <v>8.699999999999999</v>
      </c>
      <c r="I21" s="16" t="n">
        <v>3.75</v>
      </c>
      <c r="J21" s="16" t="n">
        <v>4.95</v>
      </c>
      <c r="K21" s="17" t="n">
        <v>7.9</v>
      </c>
      <c r="L21" s="12" t="inlineStr">
        <is>
          <t>Factory Rooftop Solar PV</t>
        </is>
      </c>
      <c r="M21" s="12" t="inlineStr">
        <is>
          <t>50% RE by 2030</t>
        </is>
      </c>
    </row>
    <row r="22" ht="22" customHeight="1">
      <c r="A22" s="6" t="inlineStr">
        <is>
          <t>Jubilant FoodWorks Ltd</t>
        </is>
      </c>
      <c r="B22" s="7" t="inlineStr">
        <is>
          <t>JUBLFOOD</t>
        </is>
      </c>
      <c r="C22" s="7" t="inlineStr">
        <is>
          <t>QSR / Food Services</t>
        </is>
      </c>
      <c r="D22" s="8" t="n">
        <v>12</v>
      </c>
      <c r="E22" s="6" t="inlineStr">
        <is>
          <t>12 MW Open access solar for commissaries</t>
        </is>
      </c>
      <c r="F22" s="9" t="n">
        <v>35</v>
      </c>
      <c r="G22" s="8" t="n">
        <v>24</v>
      </c>
      <c r="H22" s="10" t="n">
        <v>9.4</v>
      </c>
      <c r="I22" s="10" t="n">
        <v>4.1</v>
      </c>
      <c r="J22" s="10" t="n">
        <v>5.3</v>
      </c>
      <c r="K22" s="11" t="n">
        <v>12.7</v>
      </c>
      <c r="L22" s="6" t="inlineStr">
        <is>
          <t>Green Open Access PPA for central kitchens</t>
        </is>
      </c>
      <c r="M22" s="6" t="inlineStr">
        <is>
          <t>50% RE by 2030</t>
        </is>
      </c>
    </row>
    <row r="23" ht="22" customHeight="1">
      <c r="A23" s="12" t="inlineStr">
        <is>
          <t>Supreme Industries Ltd</t>
        </is>
      </c>
      <c r="B23" s="13" t="inlineStr">
        <is>
          <t>SUPREMEIND</t>
        </is>
      </c>
      <c r="C23" s="13" t="inlineStr">
        <is>
          <t>Plastics &amp; Piping</t>
        </is>
      </c>
      <c r="D23" s="14" t="n">
        <v>32</v>
      </c>
      <c r="E23" s="12" t="inlineStr">
        <is>
          <t>32 MW Rooftop Solar across 28 units</t>
        </is>
      </c>
      <c r="F23" s="15" t="n">
        <v>28</v>
      </c>
      <c r="G23" s="14" t="n">
        <v>75</v>
      </c>
      <c r="H23" s="16" t="n">
        <v>8.5</v>
      </c>
      <c r="I23" s="16" t="n">
        <v>3.75</v>
      </c>
      <c r="J23" s="16" t="n">
        <v>4.75</v>
      </c>
      <c r="K23" s="17" t="n">
        <v>35.6</v>
      </c>
      <c r="L23" s="12" t="inlineStr">
        <is>
          <t>Rooftop Solar on all manufacturing units</t>
        </is>
      </c>
      <c r="M23" s="12" t="inlineStr">
        <is>
          <t>40% RE by 2028</t>
        </is>
      </c>
    </row>
    <row r="24" ht="22" customHeight="1">
      <c r="A24" s="6" t="inlineStr">
        <is>
          <t>Exide Industries Ltd</t>
        </is>
      </c>
      <c r="B24" s="7" t="inlineStr">
        <is>
          <t>EXIDEIND</t>
        </is>
      </c>
      <c r="C24" s="7" t="inlineStr">
        <is>
          <t>Batteries &amp; Storage</t>
        </is>
      </c>
      <c r="D24" s="8" t="n">
        <v>35</v>
      </c>
      <c r="E24" s="6" t="inlineStr">
        <is>
          <t>35 MW Solar &amp; Wind installations</t>
        </is>
      </c>
      <c r="F24" s="9" t="n">
        <v>26</v>
      </c>
      <c r="G24" s="8" t="n">
        <v>82</v>
      </c>
      <c r="H24" s="10" t="n">
        <v>8.4</v>
      </c>
      <c r="I24" s="10" t="n">
        <v>3.8</v>
      </c>
      <c r="J24" s="10" t="n">
        <v>4.6</v>
      </c>
      <c r="K24" s="11" t="n">
        <v>37.7</v>
      </c>
      <c r="L24" s="6" t="inlineStr">
        <is>
          <t>Rooftop Solar + Haldia captive park</t>
        </is>
      </c>
      <c r="M24" s="6" t="inlineStr">
        <is>
          <t>50% RE by 2030</t>
        </is>
      </c>
    </row>
    <row r="25" ht="25" customHeight="1">
      <c r="A25" s="18" t="inlineStr">
        <is>
          <t>TOTAL / WEIGHTED AVERAGE</t>
        </is>
      </c>
      <c r="B25" s="29" t="n"/>
      <c r="C25" s="29" t="n"/>
      <c r="D25" s="20">
        <f>SUM(D5:D24)</f>
        <v/>
      </c>
      <c r="E25" s="29" t="n"/>
      <c r="F25" s="21">
        <f>AVERAGE(F5:F24)</f>
        <v/>
      </c>
      <c r="G25" s="20">
        <f>SUM(G5:G24)</f>
        <v/>
      </c>
      <c r="H25" s="22">
        <f>AVERAGE(H5:H24)</f>
        <v/>
      </c>
      <c r="I25" s="22">
        <f>AVERAGE(I5:I24)</f>
        <v/>
      </c>
      <c r="J25" s="22">
        <f>AVERAGE(J5:J24)</f>
        <v/>
      </c>
      <c r="K25" s="23">
        <f>SUM(K5:K24)</f>
        <v/>
      </c>
      <c r="L25" s="29" t="n"/>
      <c r="M25" s="29" t="n"/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6" customWidth="1" min="3" max="3"/>
    <col width="18" customWidth="1" min="4" max="4"/>
    <col width="38" customWidth="1" min="5" max="5"/>
    <col width="16" customWidth="1" min="6" max="6"/>
    <col width="20" customWidth="1" min="7" max="7"/>
    <col width="16" customWidth="1" min="8" max="8"/>
    <col width="16" customWidth="1" min="9" max="9"/>
    <col width="20" customWidth="1" min="10" max="10"/>
    <col width="22" customWidth="1" min="11" max="11"/>
    <col width="38" customWidth="1" min="12" max="12"/>
    <col width="42" customWidth="1" min="13" max="13"/>
  </cols>
  <sheetData>
    <row r="1" ht="35" customHeight="1">
      <c r="A1" s="33" t="inlineStr">
        <is>
          <t>India Listed Small &amp; Micro-Cap Companies: Renewable Adoption &amp; Shielded Costs</t>
        </is>
      </c>
    </row>
    <row r="2" ht="22" customHeight="1">
      <c r="A2" s="34" t="inlineStr">
        <is>
          <t>SEBI 251+ Listed Corporates | High-Growth Small Caps, Textiles, Auto Components &amp; Solar IPPs</t>
        </is>
      </c>
    </row>
    <row r="3" ht="10" customHeight="1"/>
    <row r="4" ht="28" customHeight="1">
      <c r="A4" s="35" t="inlineStr">
        <is>
          <t>Company Name</t>
        </is>
      </c>
      <c r="B4" s="35" t="inlineStr">
        <is>
          <t>Ticker</t>
        </is>
      </c>
      <c r="C4" s="35" t="inlineStr">
        <is>
          <t>Sector / Industry</t>
        </is>
      </c>
      <c r="D4" s="35" t="inlineStr">
        <is>
          <t>Installed / Contracted RE (MW)</t>
        </is>
      </c>
      <c r="E4" s="35" t="inlineStr">
        <is>
          <t>Solar / Wind / Green Tech Details</t>
        </is>
      </c>
      <c r="F4" s="35" t="inlineStr">
        <is>
          <t>RE Electricity Share (%)</t>
        </is>
      </c>
      <c r="G4" s="35" t="inlineStr">
        <is>
          <t>Annual Green Units (MU / MWh M)</t>
        </is>
      </c>
      <c r="H4" s="35" t="inlineStr">
        <is>
          <t>Avg. Grid Tariff (₹/kWh)</t>
        </is>
      </c>
      <c r="I4" s="35" t="inlineStr">
        <is>
          <t>Green Landed Cost (₹/kWh)</t>
        </is>
      </c>
      <c r="J4" s="35" t="inlineStr">
        <is>
          <t>Cost Shielded / Unit Saved (₹/kWh)</t>
        </is>
      </c>
      <c r="K4" s="35" t="inlineStr">
        <is>
          <t>Est. Annual Cost Shielded (₹ Crore)</t>
        </is>
      </c>
      <c r="L4" s="35" t="inlineStr">
        <is>
          <t>Primary Sourcing Model</t>
        </is>
      </c>
      <c r="M4" s="35" t="inlineStr">
        <is>
          <t>Key Targets / Commitments</t>
        </is>
      </c>
    </row>
    <row r="5" ht="22" customHeight="1">
      <c r="A5" s="12" t="inlineStr">
        <is>
          <t>KPR Mill Ltd</t>
        </is>
      </c>
      <c r="B5" s="13" t="inlineStr">
        <is>
          <t>KPRMILL</t>
        </is>
      </c>
      <c r="C5" s="13" t="inlineStr">
        <is>
          <t>Textiles &amp; Garments</t>
        </is>
      </c>
      <c r="D5" s="14" t="n">
        <v>191.9</v>
      </c>
      <c r="E5" s="12" t="inlineStr">
        <is>
          <t>61.9 MW Wind + 35 MW Solar + 90 MW Co-gen</t>
        </is>
      </c>
      <c r="F5" s="15" t="n">
        <v>100</v>
      </c>
      <c r="G5" s="14" t="n">
        <v>450</v>
      </c>
      <c r="H5" s="16" t="n">
        <v>8.199999999999999</v>
      </c>
      <c r="I5" s="16" t="n">
        <v>3.4</v>
      </c>
      <c r="J5" s="16" t="n">
        <v>4.8</v>
      </c>
      <c r="K5" s="17" t="n">
        <v>216</v>
      </c>
      <c r="L5" s="12" t="inlineStr">
        <is>
          <t>Captive Wind &amp; Solar Parks (100% self-reliant)</t>
        </is>
      </c>
      <c r="M5" s="12" t="inlineStr">
        <is>
          <t>100% RE achieved in FY26</t>
        </is>
      </c>
    </row>
    <row r="6" ht="22" customHeight="1">
      <c r="A6" s="6" t="inlineStr">
        <is>
          <t>Welspun Living Ltd</t>
        </is>
      </c>
      <c r="B6" s="7" t="inlineStr">
        <is>
          <t>WELSPUNLIV</t>
        </is>
      </c>
      <c r="C6" s="7" t="inlineStr">
        <is>
          <t>Home Textiles</t>
        </is>
      </c>
      <c r="D6" s="8" t="n">
        <v>35</v>
      </c>
      <c r="E6" s="6" t="inlineStr">
        <is>
          <t>35 MW Rooftop &amp; Ground Solar at Anjar &amp; Vapi</t>
        </is>
      </c>
      <c r="F6" s="9" t="n">
        <v>48</v>
      </c>
      <c r="G6" s="8" t="n">
        <v>85</v>
      </c>
      <c r="H6" s="10" t="n">
        <v>8.1</v>
      </c>
      <c r="I6" s="10" t="n">
        <v>3.6</v>
      </c>
      <c r="J6" s="10" t="n">
        <v>4.5</v>
      </c>
      <c r="K6" s="11" t="n">
        <v>38.3</v>
      </c>
      <c r="L6" s="6" t="inlineStr">
        <is>
          <t>Rooftop Solar on mega textile parks</t>
        </is>
      </c>
      <c r="M6" s="6" t="inlineStr">
        <is>
          <t>100% RE by 2030 (RE100 member)</t>
        </is>
      </c>
    </row>
    <row r="7" ht="22" customHeight="1">
      <c r="A7" s="12" t="inlineStr">
        <is>
          <t>Arvind Ltd</t>
        </is>
      </c>
      <c r="B7" s="13" t="inlineStr">
        <is>
          <t>ARVIND</t>
        </is>
      </c>
      <c r="C7" s="13" t="inlineStr">
        <is>
          <t>Textiles &amp; Apparel</t>
        </is>
      </c>
      <c r="D7" s="14" t="n">
        <v>28</v>
      </c>
      <c r="E7" s="12" t="inlineStr">
        <is>
          <t>28 MW Rooftop Solar at Santej &amp; Naroda</t>
        </is>
      </c>
      <c r="F7" s="15" t="n">
        <v>38</v>
      </c>
      <c r="G7" s="14" t="n">
        <v>62</v>
      </c>
      <c r="H7" s="16" t="n">
        <v>8.199999999999999</v>
      </c>
      <c r="I7" s="16" t="n">
        <v>3.65</v>
      </c>
      <c r="J7" s="16" t="n">
        <v>4.55</v>
      </c>
      <c r="K7" s="17" t="n">
        <v>28.2</v>
      </c>
      <c r="L7" s="12" t="inlineStr">
        <is>
          <t>Largest rooftop solar installations in textiles</t>
        </is>
      </c>
      <c r="M7" s="12" t="inlineStr">
        <is>
          <t>50% RE by 2028</t>
        </is>
      </c>
    </row>
    <row r="8" ht="22" customHeight="1">
      <c r="A8" s="6" t="inlineStr">
        <is>
          <t>Sagar Cements Ltd</t>
        </is>
      </c>
      <c r="B8" s="7" t="inlineStr">
        <is>
          <t>SAGCEM</t>
        </is>
      </c>
      <c r="C8" s="7" t="inlineStr">
        <is>
          <t>Cement</t>
        </is>
      </c>
      <c r="D8" s="8" t="n">
        <v>25.5</v>
      </c>
      <c r="E8" s="6" t="inlineStr">
        <is>
          <t>18 MW Solar + 7.5 MW WHRS</t>
        </is>
      </c>
      <c r="F8" s="9" t="n">
        <v>36</v>
      </c>
      <c r="G8" s="8" t="n">
        <v>78</v>
      </c>
      <c r="H8" s="10" t="n">
        <v>8.1</v>
      </c>
      <c r="I8" s="10" t="n">
        <v>3.7</v>
      </c>
      <c r="J8" s="10" t="n">
        <v>4.4</v>
      </c>
      <c r="K8" s="11" t="n">
        <v>34.3</v>
      </c>
      <c r="L8" s="6" t="inlineStr">
        <is>
          <t>Captive Solar Plant at Mattampally &amp; WHRS</t>
        </is>
      </c>
      <c r="M8" s="6" t="inlineStr">
        <is>
          <t>50% Green Power by 2028</t>
        </is>
      </c>
    </row>
    <row r="9" ht="22" customHeight="1">
      <c r="A9" s="12" t="inlineStr">
        <is>
          <t>Orient Cement Ltd</t>
        </is>
      </c>
      <c r="B9" s="13" t="inlineStr">
        <is>
          <t>ORIENTCEM</t>
        </is>
      </c>
      <c r="C9" s="13" t="inlineStr">
        <is>
          <t>Cement</t>
        </is>
      </c>
      <c r="D9" s="14" t="n">
        <v>50</v>
      </c>
      <c r="E9" s="12" t="inlineStr">
        <is>
          <t>35 MW Solar PPA + 15 MW WHRS</t>
        </is>
      </c>
      <c r="F9" s="15" t="n">
        <v>38</v>
      </c>
      <c r="G9" s="14" t="n">
        <v>110</v>
      </c>
      <c r="H9" s="16" t="n">
        <v>8</v>
      </c>
      <c r="I9" s="16" t="n">
        <v>3.75</v>
      </c>
      <c r="J9" s="16" t="n">
        <v>4.25</v>
      </c>
      <c r="K9" s="17" t="n">
        <v>46.8</v>
      </c>
      <c r="L9" s="12" t="inlineStr">
        <is>
          <t>Solar PPA with Cleantech + WHRS</t>
        </is>
      </c>
      <c r="M9" s="12" t="inlineStr">
        <is>
          <t>55% Green Power by 2030</t>
        </is>
      </c>
    </row>
    <row r="10" ht="22" customHeight="1">
      <c r="A10" s="6" t="inlineStr">
        <is>
          <t>Birla Corporation Ltd</t>
        </is>
      </c>
      <c r="B10" s="7" t="inlineStr">
        <is>
          <t>BIRLACORPN</t>
        </is>
      </c>
      <c r="C10" s="7" t="inlineStr">
        <is>
          <t>Cement &amp; Jute</t>
        </is>
      </c>
      <c r="D10" s="8" t="n">
        <v>55</v>
      </c>
      <c r="E10" s="6" t="inlineStr">
        <is>
          <t>35 MW Solar/Wind + 20 MW WHRS</t>
        </is>
      </c>
      <c r="F10" s="9" t="n">
        <v>30</v>
      </c>
      <c r="G10" s="8" t="n">
        <v>135</v>
      </c>
      <c r="H10" s="10" t="n">
        <v>8.1</v>
      </c>
      <c r="I10" s="10" t="n">
        <v>3.75</v>
      </c>
      <c r="J10" s="10" t="n">
        <v>4.35</v>
      </c>
      <c r="K10" s="11" t="n">
        <v>58.7</v>
      </c>
      <c r="L10" s="6" t="inlineStr">
        <is>
          <t>Onsite Solar + Open access wind/solar</t>
        </is>
      </c>
      <c r="M10" s="6" t="inlineStr">
        <is>
          <t>45% RE by 2029</t>
        </is>
      </c>
    </row>
    <row r="11" ht="22" customHeight="1">
      <c r="A11" s="12" t="inlineStr">
        <is>
          <t>Kajaria Ceramics Ltd</t>
        </is>
      </c>
      <c r="B11" s="13" t="inlineStr">
        <is>
          <t>KAJARIACER</t>
        </is>
      </c>
      <c r="C11" s="13" t="inlineStr">
        <is>
          <t>Tiles &amp; Ceramics</t>
        </is>
      </c>
      <c r="D11" s="14" t="n">
        <v>12.5</v>
      </c>
      <c r="E11" s="12" t="inlineStr">
        <is>
          <t>12.5 MW Rooftop Solar at Gailpur &amp; Malutana</t>
        </is>
      </c>
      <c r="F11" s="15" t="n">
        <v>24</v>
      </c>
      <c r="G11" s="14" t="n">
        <v>28</v>
      </c>
      <c r="H11" s="16" t="n">
        <v>8.5</v>
      </c>
      <c r="I11" s="16" t="n">
        <v>3.7</v>
      </c>
      <c r="J11" s="16" t="n">
        <v>4.8</v>
      </c>
      <c r="K11" s="17" t="n">
        <v>13.4</v>
      </c>
      <c r="L11" s="12" t="inlineStr">
        <is>
          <t>Factory Rooftop Solar PV</t>
        </is>
      </c>
      <c r="M11" s="12" t="inlineStr">
        <is>
          <t>35% RE by 2028</t>
        </is>
      </c>
    </row>
    <row r="12" ht="22" customHeight="1">
      <c r="A12" s="6" t="inlineStr">
        <is>
          <t>Somany Ceramics Ltd</t>
        </is>
      </c>
      <c r="B12" s="7" t="inlineStr">
        <is>
          <t>SOMANYCERA</t>
        </is>
      </c>
      <c r="C12" s="7" t="inlineStr">
        <is>
          <t>Tiles &amp; Ceramics</t>
        </is>
      </c>
      <c r="D12" s="8" t="n">
        <v>8.5</v>
      </c>
      <c r="E12" s="6" t="inlineStr">
        <is>
          <t>8.5 MW Rooftop Solar across Kadi &amp; Kassar</t>
        </is>
      </c>
      <c r="F12" s="9" t="n">
        <v>20</v>
      </c>
      <c r="G12" s="8" t="n">
        <v>18</v>
      </c>
      <c r="H12" s="10" t="n">
        <v>8.6</v>
      </c>
      <c r="I12" s="10" t="n">
        <v>3.75</v>
      </c>
      <c r="J12" s="10" t="n">
        <v>4.85</v>
      </c>
      <c r="K12" s="11" t="n">
        <v>8.699999999999999</v>
      </c>
      <c r="L12" s="6" t="inlineStr">
        <is>
          <t>Onsite Rooftop Solar</t>
        </is>
      </c>
      <c r="M12" s="6" t="inlineStr">
        <is>
          <t>30% RE by 2028</t>
        </is>
      </c>
    </row>
    <row r="13" ht="22" customHeight="1">
      <c r="A13" s="12" t="inlineStr">
        <is>
          <t>Borosil Renewables Ltd</t>
        </is>
      </c>
      <c r="B13" s="13" t="inlineStr">
        <is>
          <t>BORORENEW</t>
        </is>
      </c>
      <c r="C13" s="13" t="inlineStr">
        <is>
          <t>Solar Glass &amp; Specialty Glass</t>
        </is>
      </c>
      <c r="D13" s="14" t="n">
        <v>10</v>
      </c>
      <c r="E13" s="12" t="inlineStr">
        <is>
          <t>10 MW Captive Solar &amp; Wind installation</t>
        </is>
      </c>
      <c r="F13" s="15" t="n">
        <v>30</v>
      </c>
      <c r="G13" s="14" t="n">
        <v>24</v>
      </c>
      <c r="H13" s="16" t="n">
        <v>8.199999999999999</v>
      </c>
      <c r="I13" s="16" t="n">
        <v>3.6</v>
      </c>
      <c r="J13" s="16" t="n">
        <v>4.6</v>
      </c>
      <c r="K13" s="17" t="n">
        <v>11</v>
      </c>
      <c r="L13" s="12" t="inlineStr">
        <is>
          <t>Captive Solar PV + Solar Glass production</t>
        </is>
      </c>
      <c r="M13" s="12" t="inlineStr">
        <is>
          <t>50% RE by 2030</t>
        </is>
      </c>
    </row>
    <row r="14" ht="22" customHeight="1">
      <c r="A14" s="6" t="inlineStr">
        <is>
          <t>Gabriel India Ltd</t>
        </is>
      </c>
      <c r="B14" s="7" t="inlineStr">
        <is>
          <t>GABRIEL</t>
        </is>
      </c>
      <c r="C14" s="7" t="inlineStr">
        <is>
          <t>Auto Ancillary / Shock Absorbers</t>
        </is>
      </c>
      <c r="D14" s="8" t="n">
        <v>6.5</v>
      </c>
      <c r="E14" s="6" t="inlineStr">
        <is>
          <t>6.5 MW Rooftop Solar across Pune &amp; Hosur</t>
        </is>
      </c>
      <c r="F14" s="9" t="n">
        <v>32</v>
      </c>
      <c r="G14" s="8" t="n">
        <v>14</v>
      </c>
      <c r="H14" s="10" t="n">
        <v>8.9</v>
      </c>
      <c r="I14" s="10" t="n">
        <v>3.8</v>
      </c>
      <c r="J14" s="10" t="n">
        <v>5.1</v>
      </c>
      <c r="K14" s="11" t="n">
        <v>7.1</v>
      </c>
      <c r="L14" s="6" t="inlineStr">
        <is>
          <t>Rooftop Solar on factory sheds</t>
        </is>
      </c>
      <c r="M14" s="6" t="inlineStr">
        <is>
          <t>50% RE by 2028</t>
        </is>
      </c>
    </row>
    <row r="15" ht="22" customHeight="1">
      <c r="A15" s="12" t="inlineStr">
        <is>
          <t>Lumax Auto Tech Ltd</t>
        </is>
      </c>
      <c r="B15" s="13" t="inlineStr">
        <is>
          <t>LUMAXTECH</t>
        </is>
      </c>
      <c r="C15" s="13" t="inlineStr">
        <is>
          <t>Auto Ancillary / Lighting</t>
        </is>
      </c>
      <c r="D15" s="14" t="n">
        <v>8</v>
      </c>
      <c r="E15" s="12" t="inlineStr">
        <is>
          <t>8 MW Rooftop Solar across 11 plants</t>
        </is>
      </c>
      <c r="F15" s="15" t="n">
        <v>26</v>
      </c>
      <c r="G15" s="14" t="n">
        <v>18</v>
      </c>
      <c r="H15" s="16" t="n">
        <v>8.800000000000001</v>
      </c>
      <c r="I15" s="16" t="n">
        <v>3.8</v>
      </c>
      <c r="J15" s="16" t="n">
        <v>5</v>
      </c>
      <c r="K15" s="17" t="n">
        <v>9</v>
      </c>
      <c r="L15" s="12" t="inlineStr">
        <is>
          <t>Rooftop Solar installations</t>
        </is>
      </c>
      <c r="M15" s="12" t="inlineStr">
        <is>
          <t>40% RE by 2030</t>
        </is>
      </c>
    </row>
    <row r="16" ht="22" customHeight="1">
      <c r="A16" s="6" t="inlineStr">
        <is>
          <t>Subros Ltd</t>
        </is>
      </c>
      <c r="B16" s="7" t="inlineStr">
        <is>
          <t>SUBROS</t>
        </is>
      </c>
      <c r="C16" s="7" t="inlineStr">
        <is>
          <t>Thermal Systems / Auto AC</t>
        </is>
      </c>
      <c r="D16" s="8" t="n">
        <v>5.5</v>
      </c>
      <c r="E16" s="6" t="inlineStr">
        <is>
          <t>5.5 MW Rooftop Solar at Noida &amp; Manesar</t>
        </is>
      </c>
      <c r="F16" s="9" t="n">
        <v>22</v>
      </c>
      <c r="G16" s="8" t="n">
        <v>12</v>
      </c>
      <c r="H16" s="10" t="n">
        <v>8.699999999999999</v>
      </c>
      <c r="I16" s="10" t="n">
        <v>3.8</v>
      </c>
      <c r="J16" s="10" t="n">
        <v>4.9</v>
      </c>
      <c r="K16" s="11" t="n">
        <v>5.9</v>
      </c>
      <c r="L16" s="6" t="inlineStr">
        <is>
          <t>Rooftop Solar PV</t>
        </is>
      </c>
      <c r="M16" s="6" t="inlineStr">
        <is>
          <t>35% RE by 2029</t>
        </is>
      </c>
    </row>
    <row r="17" ht="22" customHeight="1">
      <c r="A17" s="12" t="inlineStr">
        <is>
          <t>Sharda Motor Industries</t>
        </is>
      </c>
      <c r="B17" s="13" t="inlineStr">
        <is>
          <t>SHARDAMOTR</t>
        </is>
      </c>
      <c r="C17" s="13" t="inlineStr">
        <is>
          <t>Auto Exhaust Systems</t>
        </is>
      </c>
      <c r="D17" s="14" t="n">
        <v>4.5</v>
      </c>
      <c r="E17" s="12" t="inlineStr">
        <is>
          <t>4.5 MW Rooftop Solar installations</t>
        </is>
      </c>
      <c r="F17" s="15" t="n">
        <v>20</v>
      </c>
      <c r="G17" s="14" t="n">
        <v>10</v>
      </c>
      <c r="H17" s="16" t="n">
        <v>8.800000000000001</v>
      </c>
      <c r="I17" s="16" t="n">
        <v>3.8</v>
      </c>
      <c r="J17" s="16" t="n">
        <v>5</v>
      </c>
      <c r="K17" s="17" t="n">
        <v>5</v>
      </c>
      <c r="L17" s="12" t="inlineStr">
        <is>
          <t>Rooftop Solar on manufacturing units</t>
        </is>
      </c>
      <c r="M17" s="12" t="inlineStr">
        <is>
          <t>30% RE by 2030</t>
        </is>
      </c>
    </row>
    <row r="18" ht="22" customHeight="1">
      <c r="A18" s="6" t="inlineStr">
        <is>
          <t>KPI Green Energy Ltd</t>
        </is>
      </c>
      <c r="B18" s="7" t="inlineStr">
        <is>
          <t>KPIGREEN</t>
        </is>
      </c>
      <c r="C18" s="7" t="inlineStr">
        <is>
          <t>Solar IPP &amp; Captive Enabler</t>
        </is>
      </c>
      <c r="D18" s="8" t="n">
        <v>165</v>
      </c>
      <c r="E18" s="6" t="inlineStr">
        <is>
          <t>165 MW Captive/IPP operational (1.5 GW pipe)</t>
        </is>
      </c>
      <c r="F18" s="9" t="n">
        <v>95</v>
      </c>
      <c r="G18" s="8" t="n">
        <v>280</v>
      </c>
      <c r="H18" s="10" t="n">
        <v>7.8</v>
      </c>
      <c r="I18" s="10" t="n">
        <v>3.1</v>
      </c>
      <c r="J18" s="10" t="n">
        <v>4.7</v>
      </c>
      <c r="K18" s="11" t="n">
        <v>131.6</v>
      </c>
      <c r="L18" s="6" t="inlineStr">
        <is>
          <t>Developer of Solar Parks &amp; Group Captive</t>
        </is>
      </c>
      <c r="M18" s="6" t="inlineStr">
        <is>
          <t>Reach 2.5 GW green capacity by 2026</t>
        </is>
      </c>
    </row>
    <row r="19" ht="22" customHeight="1">
      <c r="A19" s="12" t="inlineStr">
        <is>
          <t>Gensol Engineering Ltd</t>
        </is>
      </c>
      <c r="B19" s="13" t="inlineStr">
        <is>
          <t>GENSOL</t>
        </is>
      </c>
      <c r="C19" s="13" t="inlineStr">
        <is>
          <t>Solar EPC &amp; EV Cleantech</t>
        </is>
      </c>
      <c r="D19" s="14" t="n">
        <v>85</v>
      </c>
      <c r="E19" s="12" t="inlineStr">
        <is>
          <t>85 MW Solar assets + massive EPC pipeline</t>
        </is>
      </c>
      <c r="F19" s="15" t="n">
        <v>80</v>
      </c>
      <c r="G19" s="14" t="n">
        <v>140</v>
      </c>
      <c r="H19" s="16" t="n">
        <v>7.9</v>
      </c>
      <c r="I19" s="16" t="n">
        <v>3.2</v>
      </c>
      <c r="J19" s="16" t="n">
        <v>4.7</v>
      </c>
      <c r="K19" s="17" t="n">
        <v>65.8</v>
      </c>
      <c r="L19" s="12" t="inlineStr">
        <is>
          <t>Solar EPC Developer &amp; Captive Assets</t>
        </is>
      </c>
      <c r="M19" s="12" t="inlineStr">
        <is>
          <t>1 GW renewable development portfolio</t>
        </is>
      </c>
    </row>
    <row r="20" ht="22" customHeight="1">
      <c r="A20" s="6" t="inlineStr">
        <is>
          <t>Suzlon Energy Ltd</t>
        </is>
      </c>
      <c r="B20" s="7" t="inlineStr">
        <is>
          <t>SUZLON</t>
        </is>
      </c>
      <c r="C20" s="7" t="inlineStr">
        <is>
          <t>Wind Energy Equipment &amp; O&amp;M</t>
        </is>
      </c>
      <c r="D20" s="8" t="n">
        <v>120</v>
      </c>
      <c r="E20" s="6" t="inlineStr">
        <is>
          <t>120 MW Captive/Wind O&amp;M support assets</t>
        </is>
      </c>
      <c r="F20" s="9" t="n">
        <v>75</v>
      </c>
      <c r="G20" s="8" t="n">
        <v>210</v>
      </c>
      <c r="H20" s="10" t="n">
        <v>7.8</v>
      </c>
      <c r="I20" s="10" t="n">
        <v>3.2</v>
      </c>
      <c r="J20" s="10" t="n">
        <v>4.6</v>
      </c>
      <c r="K20" s="11" t="n">
        <v>96.59999999999999</v>
      </c>
      <c r="L20" s="6" t="inlineStr">
        <is>
          <t>Wind OEM powering manufacturing green</t>
        </is>
      </c>
      <c r="M20" s="6" t="inlineStr">
        <is>
          <t>100% RE in own plants by 2028</t>
        </is>
      </c>
    </row>
    <row r="21" ht="22" customHeight="1">
      <c r="A21" s="12" t="inlineStr">
        <is>
          <t>Inox Wind Ltd</t>
        </is>
      </c>
      <c r="B21" s="13" t="inlineStr">
        <is>
          <t>INOXWIND</t>
        </is>
      </c>
      <c r="C21" s="13" t="inlineStr">
        <is>
          <t>Wind Energy Solutions</t>
        </is>
      </c>
      <c r="D21" s="14" t="n">
        <v>80</v>
      </c>
      <c r="E21" s="12" t="inlineStr">
        <is>
          <t>80 MW Wind &amp; Hybrid captive installations</t>
        </is>
      </c>
      <c r="F21" s="15" t="n">
        <v>70</v>
      </c>
      <c r="G21" s="14" t="n">
        <v>150</v>
      </c>
      <c r="H21" s="16" t="n">
        <v>7.9</v>
      </c>
      <c r="I21" s="16" t="n">
        <v>3.3</v>
      </c>
      <c r="J21" s="16" t="n">
        <v>4.6</v>
      </c>
      <c r="K21" s="17" t="n">
        <v>69</v>
      </c>
      <c r="L21" s="12" t="inlineStr">
        <is>
          <t>Wind Turbine manufacturing + Hybrid plants</t>
        </is>
      </c>
      <c r="M21" s="12" t="inlineStr">
        <is>
          <t>Net Zero operations by 2030</t>
        </is>
      </c>
    </row>
    <row r="22" ht="22" customHeight="1">
      <c r="A22" s="6" t="inlineStr">
        <is>
          <t>Orient Green Power Co</t>
        </is>
      </c>
      <c r="B22" s="7" t="inlineStr">
        <is>
          <t>GREENPOWER</t>
        </is>
      </c>
      <c r="C22" s="7" t="inlineStr">
        <is>
          <t>Pure-Play Renewable IPP</t>
        </is>
      </c>
      <c r="D22" s="8" t="n">
        <v>402</v>
      </c>
      <c r="E22" s="6" t="inlineStr">
        <is>
          <t>402 MW Wind &amp; Biomass plants</t>
        </is>
      </c>
      <c r="F22" s="9" t="n">
        <v>100</v>
      </c>
      <c r="G22" s="8" t="n">
        <v>620</v>
      </c>
      <c r="H22" s="10" t="n">
        <v>7.6</v>
      </c>
      <c r="I22" s="10" t="n">
        <v>3.3</v>
      </c>
      <c r="J22" s="10" t="n">
        <v>4.3</v>
      </c>
      <c r="K22" s="11" t="n">
        <v>266.6</v>
      </c>
      <c r="L22" s="6" t="inlineStr">
        <is>
          <t>Independent Power Producer (IPP)</t>
        </is>
      </c>
      <c r="M22" s="6" t="inlineStr">
        <is>
          <t>1 GW green energy portfolio</t>
        </is>
      </c>
    </row>
    <row r="23" ht="22" customHeight="1">
      <c r="A23" s="12" t="inlineStr">
        <is>
          <t>Sterling &amp; Wilson RE Ltd</t>
        </is>
      </c>
      <c r="B23" s="13" t="inlineStr">
        <is>
          <t>SWSOLAR</t>
        </is>
      </c>
      <c r="C23" s="13" t="inlineStr">
        <is>
          <t>Solar EPC Pure Play</t>
        </is>
      </c>
      <c r="D23" s="14" t="n">
        <v>25</v>
      </c>
      <c r="E23" s="12" t="inlineStr">
        <is>
          <t>25 MW Rooftop &amp; captive demo solar PV</t>
        </is>
      </c>
      <c r="F23" s="15" t="n">
        <v>65</v>
      </c>
      <c r="G23" s="14" t="n">
        <v>45</v>
      </c>
      <c r="H23" s="16" t="n">
        <v>8.5</v>
      </c>
      <c r="I23" s="16" t="n">
        <v>3.5</v>
      </c>
      <c r="J23" s="16" t="n">
        <v>5</v>
      </c>
      <c r="K23" s="17" t="n">
        <v>22.5</v>
      </c>
      <c r="L23" s="12" t="inlineStr">
        <is>
          <t>EPC &amp; captive solar solutions</t>
        </is>
      </c>
      <c r="M23" s="12" t="inlineStr">
        <is>
          <t>Global leader in utility solar EPC</t>
        </is>
      </c>
    </row>
    <row r="24" ht="22" customHeight="1">
      <c r="A24" s="6" t="inlineStr">
        <is>
          <t>Waaree Energies Ltd</t>
        </is>
      </c>
      <c r="B24" s="7" t="inlineStr">
        <is>
          <t>WAAREE</t>
        </is>
      </c>
      <c r="C24" s="7" t="inlineStr">
        <is>
          <t>Solar PV Modules &amp; Cleantech</t>
        </is>
      </c>
      <c r="D24" s="8" t="n">
        <v>55</v>
      </c>
      <c r="E24" s="6" t="inlineStr">
        <is>
          <t>55 MW Captive Solar + 12 GW Module Mfg</t>
        </is>
      </c>
      <c r="F24" s="9" t="n">
        <v>70</v>
      </c>
      <c r="G24" s="8" t="n">
        <v>110</v>
      </c>
      <c r="H24" s="10" t="n">
        <v>8</v>
      </c>
      <c r="I24" s="10" t="n">
        <v>3.2</v>
      </c>
      <c r="J24" s="10" t="n">
        <v>4.8</v>
      </c>
      <c r="K24" s="11" t="n">
        <v>52.8</v>
      </c>
      <c r="L24" s="6" t="inlineStr">
        <is>
          <t>Captive Solar PV for module gigafactories</t>
        </is>
      </c>
      <c r="M24" s="6" t="inlineStr">
        <is>
          <t>100% Green Manufacturing by 2028</t>
        </is>
      </c>
    </row>
    <row r="25" ht="25" customHeight="1">
      <c r="A25" s="18" t="inlineStr">
        <is>
          <t>TOTAL / WEIGHTED AVERAGE</t>
        </is>
      </c>
      <c r="B25" s="29" t="n"/>
      <c r="C25" s="29" t="n"/>
      <c r="D25" s="20">
        <f>SUM(D5:D24)</f>
        <v/>
      </c>
      <c r="E25" s="29" t="n"/>
      <c r="F25" s="21">
        <f>AVERAGE(F5:F24)</f>
        <v/>
      </c>
      <c r="G25" s="20">
        <f>SUM(G5:G24)</f>
        <v/>
      </c>
      <c r="H25" s="22">
        <f>AVERAGE(H5:H24)</f>
        <v/>
      </c>
      <c r="I25" s="22">
        <f>AVERAGE(I5:I24)</f>
        <v/>
      </c>
      <c r="J25" s="22">
        <f>AVERAGE(J5:J24)</f>
        <v/>
      </c>
      <c r="K25" s="23">
        <f>SUM(K5:K24)</f>
        <v/>
      </c>
      <c r="L25" s="29" t="n"/>
      <c r="M25" s="29" t="n"/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6" customWidth="1" min="3" max="3"/>
    <col width="24" customWidth="1" min="4" max="4"/>
    <col width="20" customWidth="1" min="5" max="5"/>
    <col width="45" customWidth="1" min="6" max="6"/>
    <col width="20" customWidth="1" min="7" max="7"/>
  </cols>
  <sheetData>
    <row r="1" ht="36" customHeight="1">
      <c r="A1" s="36" t="inlineStr">
        <is>
          <t>Macro Industry Landscape: Indian Commercial &amp; Industrial (C&amp;I) Renewable Energy Transition</t>
        </is>
      </c>
    </row>
    <row r="2" ht="22" customHeight="1">
      <c r="A2" s="37" t="inlineStr">
        <is>
          <t>Total Power Demand, Current Renewable Penetration, Un-transitioned Gap &amp; Regulatory Catalysts</t>
        </is>
      </c>
    </row>
    <row r="4" ht="26" customHeight="1">
      <c r="A4" s="38" t="inlineStr">
        <is>
          <t>Metric Description</t>
        </is>
      </c>
      <c r="B4" s="38" t="inlineStr">
        <is>
          <t>Value</t>
        </is>
      </c>
      <c r="C4" s="38" t="inlineStr">
        <is>
          <t>Unit / Context</t>
        </is>
      </c>
      <c r="D4" s="38" t="inlineStr">
        <is>
          <t>Source &amp; Benchmark Details</t>
        </is>
      </c>
    </row>
    <row r="5" ht="22" customHeight="1">
      <c r="A5" s="12" t="inlineStr">
        <is>
          <t>Total Annual Electricity Consumption in India</t>
        </is>
      </c>
      <c r="B5" s="39" t="inlineStr">
        <is>
          <t>1,550 - 1,600</t>
        </is>
      </c>
      <c r="C5" s="13" t="inlineStr">
        <is>
          <t>Billion Units (TWh)</t>
        </is>
      </c>
      <c r="D5" s="12" t="inlineStr">
        <is>
          <t>Central Electricity Authority (CEA) FY25-FY26</t>
        </is>
      </c>
    </row>
    <row r="6" ht="22" customHeight="1">
      <c r="A6" s="6" t="inlineStr">
        <is>
          <t>Commercial &amp; Industrial (C&amp;I) Power Share</t>
        </is>
      </c>
      <c r="B6" s="40" t="inlineStr">
        <is>
          <t>49% - 51%</t>
        </is>
      </c>
      <c r="C6" s="7" t="inlineStr">
        <is>
          <t>% of Total Indian Power</t>
        </is>
      </c>
      <c r="D6" s="6" t="inlineStr">
        <is>
          <t>Consumes ~750 to 800 Billion kWh annually</t>
        </is>
      </c>
    </row>
    <row r="7" ht="22" customHeight="1">
      <c r="A7" s="12" t="inlineStr">
        <is>
          <t>Total Installed Solar Open Access Capacity (C&amp;I)</t>
        </is>
      </c>
      <c r="B7" s="39" t="inlineStr">
        <is>
          <t>~32.9</t>
        </is>
      </c>
      <c r="C7" s="13" t="inlineStr">
        <is>
          <t>Gigawatts (GW)</t>
        </is>
      </c>
      <c r="D7" s="12" t="inlineStr">
        <is>
          <t>Mercom India Research &amp; Industry Disclosures (2026)</t>
        </is>
      </c>
    </row>
    <row r="8" ht="22" customHeight="1">
      <c r="A8" s="6" t="inlineStr">
        <is>
          <t>Total Installed C&amp;I Rooftop Solar Capacity</t>
        </is>
      </c>
      <c r="B8" s="40" t="inlineStr">
        <is>
          <t>~11.5</t>
        </is>
      </c>
      <c r="C8" s="7" t="inlineStr">
        <is>
          <t>Gigawatts (GW)</t>
        </is>
      </c>
      <c r="D8" s="6" t="inlineStr">
        <is>
          <t>MNRE &amp; Bridge to India (70-80% driven by C&amp;I)</t>
        </is>
      </c>
    </row>
    <row r="9" ht="22" customHeight="1">
      <c r="A9" s="12" t="inlineStr">
        <is>
          <t>Total Operational C&amp;I Renewable Capacity</t>
        </is>
      </c>
      <c r="B9" s="39" t="inlineStr">
        <is>
          <t>~44.4</t>
        </is>
      </c>
      <c r="C9" s="13" t="inlineStr">
        <is>
          <t>Gigawatts (GW)</t>
        </is>
      </c>
      <c r="D9" s="12" t="inlineStr">
        <is>
          <t>Combined Open Access Solar/Wind + Rooftop PV</t>
        </is>
      </c>
    </row>
    <row r="10" ht="22" customHeight="1">
      <c r="A10" s="6" t="inlineStr">
        <is>
          <t>Current C&amp;I Renewable Electricity Penetration</t>
        </is>
      </c>
      <c r="B10" s="40" t="inlineStr">
        <is>
          <t>~12% - 15%</t>
        </is>
      </c>
      <c r="C10" s="7" t="inlineStr">
        <is>
          <t>% of C&amp;I Power Demand</t>
        </is>
      </c>
      <c r="D10" s="6" t="inlineStr">
        <is>
          <t>Generates ~90 to 110 Billion Units of clean power</t>
        </is>
      </c>
    </row>
    <row r="11" ht="22" customHeight="1">
      <c r="A11" s="12" t="inlineStr">
        <is>
          <t>Remaining Un-Transitioned Industry Demand</t>
        </is>
      </c>
      <c r="B11" s="39" t="inlineStr">
        <is>
          <t>85% - 88%</t>
        </is>
      </c>
      <c r="C11" s="13" t="inlineStr">
        <is>
          <t>% of C&amp;I Power Demand</t>
        </is>
      </c>
      <c r="D11" s="12" t="inlineStr">
        <is>
          <t>Consumes ~650+ Billion Units of coal/grid electricity</t>
        </is>
      </c>
    </row>
    <row r="12" ht="22" customHeight="1">
      <c r="A12" s="6" t="inlineStr">
        <is>
          <t>Projected C&amp;I Renewable Capacity by FY2028</t>
        </is>
      </c>
      <c r="B12" s="40" t="inlineStr">
        <is>
          <t>57.0</t>
        </is>
      </c>
      <c r="C12" s="7" t="inlineStr">
        <is>
          <t>Gigawatts (GW)</t>
        </is>
      </c>
      <c r="D12" s="6" t="inlineStr">
        <is>
          <t>ICRA &amp; Industry Forecasts (Growing at 26-30% CAGR)</t>
        </is>
      </c>
    </row>
    <row r="13" ht="22" customHeight="1">
      <c r="A13" s="12" t="inlineStr">
        <is>
          <t>Projected C&amp;I Renewable Capacity by 2030</t>
        </is>
      </c>
      <c r="B13" s="39" t="inlineStr">
        <is>
          <t>100.0+</t>
        </is>
      </c>
      <c r="C13" s="13" t="inlineStr">
        <is>
          <t>Gigawatts (GW)</t>
        </is>
      </c>
      <c r="D13" s="12" t="inlineStr">
        <is>
          <t>Targeting 35-40% green share of Indian C&amp;I electricity</t>
        </is>
      </c>
    </row>
    <row r="16">
      <c r="A16" s="41" t="inlineStr">
        <is>
          <t>STATE-WISE DISCOM INDUSTRIAL TARIFF vs SOLAR SAVINGS ARBITRAGE</t>
        </is>
      </c>
    </row>
    <row r="17" ht="26" customHeight="1">
      <c r="A17" s="38" t="inlineStr">
        <is>
          <t>State / Region</t>
        </is>
      </c>
      <c r="B17" s="38" t="inlineStr">
        <is>
          <t>DISCOM Industrial Tariff (₹/kWh)</t>
        </is>
      </c>
      <c r="C17" s="38" t="inlineStr">
        <is>
          <t>Solar PPA Landed Cost (₹/kWh)</t>
        </is>
      </c>
      <c r="D17" s="38" t="inlineStr">
        <is>
          <t>Net Unit Savings (₹/kWh)</t>
        </is>
      </c>
      <c r="E17" s="38" t="inlineStr">
        <is>
          <t>Savings Percentage (%)</t>
        </is>
      </c>
      <c r="F17" s="38" t="inlineStr">
        <is>
          <t>Key Open Access Policy Highlights</t>
        </is>
      </c>
    </row>
    <row r="18" ht="22" customHeight="1">
      <c r="A18" s="6" t="inlineStr">
        <is>
          <t>Maharashtra (MSEDCL)</t>
        </is>
      </c>
      <c r="B18" s="7" t="inlineStr">
        <is>
          <t>₹9.20 - ₹11.50</t>
        </is>
      </c>
      <c r="C18" s="7" t="inlineStr">
        <is>
          <t>₹4.10 - ₹4.50</t>
        </is>
      </c>
      <c r="D18" s="40" t="inlineStr">
        <is>
          <t>₹5.10 - ₹7.00</t>
        </is>
      </c>
      <c r="E18" s="7" t="inlineStr">
        <is>
          <t>55% - 62%</t>
        </is>
      </c>
      <c r="F18" s="6" t="inlineStr">
        <is>
          <t>High base tariff &amp; cross-subsidy surcharge; strong group captive demand</t>
        </is>
      </c>
    </row>
    <row r="19" ht="22" customHeight="1">
      <c r="A19" s="12" t="inlineStr">
        <is>
          <t>Gujarat (UGVCL / DGVCL)</t>
        </is>
      </c>
      <c r="B19" s="13" t="inlineStr">
        <is>
          <t>₹7.50 - ₹8.60</t>
        </is>
      </c>
      <c r="C19" s="13" t="inlineStr">
        <is>
          <t>₹3.50 - ₹3.90</t>
        </is>
      </c>
      <c r="D19" s="39" t="inlineStr">
        <is>
          <t>₹3.80 - ₹4.80</t>
        </is>
      </c>
      <c r="E19" s="13" t="inlineStr">
        <is>
          <t>48% - 55%</t>
        </is>
      </c>
      <c r="F19" s="12" t="inlineStr">
        <is>
          <t>Green tariff option available; leading solar manufacturing &amp; Kutch RE hub</t>
        </is>
      </c>
    </row>
    <row r="20" ht="22" customHeight="1">
      <c r="A20" s="6" t="inlineStr">
        <is>
          <t>Tamil Nadu (TANGEDCO)</t>
        </is>
      </c>
      <c r="B20" s="7" t="inlineStr">
        <is>
          <t>₹8.20 - ₹9.40</t>
        </is>
      </c>
      <c r="C20" s="7" t="inlineStr">
        <is>
          <t>₹3.70 - ₹4.10</t>
        </is>
      </c>
      <c r="D20" s="40" t="inlineStr">
        <is>
          <t>₹4.40 - ₹5.30</t>
        </is>
      </c>
      <c r="E20" s="7" t="inlineStr">
        <is>
          <t>52% - 58%</t>
        </is>
      </c>
      <c r="F20" s="6" t="inlineStr">
        <is>
          <t>Pioneer in captive wind &amp; solar; massive textile &amp; auto adoption (KPR, Titan)</t>
        </is>
      </c>
    </row>
    <row r="21" ht="22" customHeight="1">
      <c r="A21" s="12" t="inlineStr">
        <is>
          <t>Karnataka (BESCOM)</t>
        </is>
      </c>
      <c r="B21" s="13" t="inlineStr">
        <is>
          <t>₹7.80 - ₹9.20</t>
        </is>
      </c>
      <c r="C21" s="13" t="inlineStr">
        <is>
          <t>₹3.50 - ₹3.90</t>
        </is>
      </c>
      <c r="D21" s="39" t="inlineStr">
        <is>
          <t>₹4.20 - ₹5.40</t>
        </is>
      </c>
      <c r="E21" s="13" t="inlineStr">
        <is>
          <t>50% - 58%</t>
        </is>
      </c>
      <c r="F21" s="12" t="inlineStr">
        <is>
          <t>High solar irradiance (Pavagada); open access hub for IT campuses &amp; data centers</t>
        </is>
      </c>
    </row>
    <row r="22" ht="22" customHeight="1">
      <c r="A22" s="6" t="inlineStr">
        <is>
          <t>Rajasthan (JVVNL)</t>
        </is>
      </c>
      <c r="B22" s="7" t="inlineStr">
        <is>
          <t>₹8.00 - ₹9.10</t>
        </is>
      </c>
      <c r="C22" s="7" t="inlineStr">
        <is>
          <t>₹3.20 - ₹3.60</t>
        </is>
      </c>
      <c r="D22" s="40" t="inlineStr">
        <is>
          <t>₹4.60 - ₹5.50</t>
        </is>
      </c>
      <c r="E22" s="7" t="inlineStr">
        <is>
          <t>55% - 60%</t>
        </is>
      </c>
      <c r="F22" s="6" t="inlineStr">
        <is>
          <t>Lowest solar generation LCOE in India; exporter of green power to other states</t>
        </is>
      </c>
    </row>
    <row r="23" ht="22" customHeight="1">
      <c r="A23" s="12" t="inlineStr">
        <is>
          <t>Uttar Pradesh (UPPCL)</t>
        </is>
      </c>
      <c r="B23" s="13" t="inlineStr">
        <is>
          <t>₹8.50 - ₹9.80</t>
        </is>
      </c>
      <c r="C23" s="13" t="inlineStr">
        <is>
          <t>₹3.90 - ₹4.30</t>
        </is>
      </c>
      <c r="D23" s="39" t="inlineStr">
        <is>
          <t>₹4.50 - ₹5.50</t>
        </is>
      </c>
      <c r="E23" s="13" t="inlineStr">
        <is>
          <t>50% - 56%</t>
        </is>
      </c>
      <c r="F23" s="12" t="inlineStr">
        <is>
          <t>100 kW open access rules adopted; rapidly rising rooftop solar in Noida/Kanpur</t>
        </is>
      </c>
    </row>
  </sheetData>
  <mergeCells count="3">
    <mergeCell ref="A16:G16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2026-09-05T10:59:55Z</dcterms:created>
  <dcterms:modified xmlns:dcterms="http://purl.org/dc/terms/" xmlns:xsi="http://www.w3.org/2001/XMLSchema-instance" xsi:type="dcterms:W3CDTF">2026-09-05T10:59:55Z</dcterms:modified>
</cp:coreProperties>
</file>